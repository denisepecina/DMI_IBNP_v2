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SMoretti\OneDrive - ARM\Documents\GitHub\DMI_IBNP_v2\Process Results\"/>
    </mc:Choice>
  </mc:AlternateContent>
  <xr:revisionPtr revIDLastSave="0" documentId="13_ncr:1_{E0A6CE49-04C2-4560-A9D3-011C959C80ED}" xr6:coauthVersionLast="47" xr6:coauthVersionMax="47" xr10:uidLastSave="{00000000-0000-0000-0000-000000000000}"/>
  <bookViews>
    <workbookView xWindow="-108" yWindow="-108" windowWidth="23256" windowHeight="12576" xr2:uid="{9B94C235-4B85-4887-832D-FBC296CFB081}"/>
  </bookViews>
  <sheets>
    <sheet name="Summary" sheetId="1" r:id="rId1"/>
    <sheet name="XCH Allocation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12" i="1"/>
  <c r="B11" i="1"/>
  <c r="B4" i="1"/>
  <c r="B16" i="1"/>
  <c r="B9" i="1"/>
  <c r="G16" i="1"/>
  <c r="G15" i="1"/>
  <c r="G14" i="1"/>
  <c r="G13" i="1"/>
  <c r="G12" i="1"/>
  <c r="G11" i="1"/>
  <c r="G10" i="1"/>
  <c r="G9" i="1"/>
  <c r="G8" i="1"/>
  <c r="G7" i="1"/>
  <c r="G6" i="1"/>
  <c r="G5" i="1"/>
  <c r="G3" i="1"/>
  <c r="G2" i="1"/>
  <c r="B6" i="1"/>
  <c r="B5" i="1"/>
  <c r="B3" i="1"/>
  <c r="G18" i="1" l="1"/>
  <c r="B28" i="2" l="1"/>
  <c r="B27" i="2"/>
  <c r="B26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M26" i="2" l="1"/>
  <c r="L26" i="2"/>
  <c r="K26" i="2"/>
  <c r="J26" i="2"/>
  <c r="I26" i="2"/>
  <c r="H26" i="2"/>
  <c r="G26" i="2"/>
  <c r="F26" i="2"/>
  <c r="E26" i="2"/>
  <c r="D26" i="2"/>
  <c r="C26" i="2"/>
  <c r="N26" i="2" s="1"/>
  <c r="M27" i="2"/>
  <c r="L27" i="2"/>
  <c r="K27" i="2"/>
  <c r="J27" i="2"/>
  <c r="I27" i="2"/>
  <c r="H27" i="2"/>
  <c r="G27" i="2"/>
  <c r="F27" i="2"/>
  <c r="E27" i="2"/>
  <c r="D27" i="2"/>
  <c r="C27" i="2"/>
  <c r="N27" i="2" s="1"/>
  <c r="M28" i="2"/>
  <c r="L28" i="2"/>
  <c r="K28" i="2"/>
  <c r="J28" i="2"/>
  <c r="I28" i="2"/>
  <c r="H28" i="2"/>
  <c r="G28" i="2"/>
  <c r="F28" i="2"/>
  <c r="E28" i="2"/>
  <c r="D28" i="2"/>
  <c r="C28" i="2"/>
  <c r="N28" i="2" s="1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M25" i="2" l="1"/>
  <c r="L25" i="2"/>
  <c r="K25" i="2"/>
  <c r="J25" i="2"/>
  <c r="I25" i="2"/>
  <c r="H25" i="2"/>
  <c r="G25" i="2"/>
  <c r="F25" i="2"/>
  <c r="E25" i="2"/>
  <c r="D25" i="2"/>
  <c r="C25" i="2"/>
  <c r="N25" i="2" s="1"/>
  <c r="M24" i="2"/>
  <c r="L24" i="2"/>
  <c r="K24" i="2"/>
  <c r="J24" i="2"/>
  <c r="I24" i="2"/>
  <c r="H24" i="2"/>
  <c r="G24" i="2"/>
  <c r="F24" i="2"/>
  <c r="E24" i="2"/>
  <c r="D24" i="2"/>
  <c r="C24" i="2"/>
  <c r="N24" i="2" s="1"/>
  <c r="M23" i="2"/>
  <c r="L23" i="2"/>
  <c r="K23" i="2"/>
  <c r="J23" i="2"/>
  <c r="I23" i="2"/>
  <c r="H23" i="2"/>
  <c r="G23" i="2"/>
  <c r="F23" i="2"/>
  <c r="E23" i="2"/>
  <c r="D23" i="2"/>
  <c r="C23" i="2"/>
  <c r="N23" i="2" s="1"/>
  <c r="M22" i="2"/>
  <c r="L22" i="2"/>
  <c r="K22" i="2"/>
  <c r="J22" i="2"/>
  <c r="I22" i="2"/>
  <c r="H22" i="2"/>
  <c r="G22" i="2"/>
  <c r="F22" i="2"/>
  <c r="E22" i="2"/>
  <c r="D22" i="2"/>
  <c r="C22" i="2"/>
  <c r="N22" i="2" s="1"/>
  <c r="M21" i="2"/>
  <c r="L21" i="2"/>
  <c r="K21" i="2"/>
  <c r="J21" i="2"/>
  <c r="I21" i="2"/>
  <c r="H21" i="2"/>
  <c r="G21" i="2"/>
  <c r="F21" i="2"/>
  <c r="E21" i="2"/>
  <c r="D21" i="2"/>
  <c r="C21" i="2"/>
  <c r="N21" i="2" s="1"/>
  <c r="M20" i="2"/>
  <c r="L20" i="2"/>
  <c r="K20" i="2"/>
  <c r="J20" i="2"/>
  <c r="I20" i="2"/>
  <c r="H20" i="2"/>
  <c r="G20" i="2"/>
  <c r="F20" i="2"/>
  <c r="E20" i="2"/>
  <c r="D20" i="2"/>
  <c r="C20" i="2"/>
  <c r="N20" i="2" s="1"/>
  <c r="M19" i="2"/>
  <c r="L19" i="2"/>
  <c r="K19" i="2"/>
  <c r="J19" i="2"/>
  <c r="I19" i="2"/>
  <c r="H19" i="2"/>
  <c r="G19" i="2"/>
  <c r="F19" i="2"/>
  <c r="E19" i="2"/>
  <c r="D19" i="2"/>
  <c r="C19" i="2"/>
  <c r="N19" i="2" s="1"/>
  <c r="M18" i="2"/>
  <c r="L18" i="2"/>
  <c r="K18" i="2"/>
  <c r="J18" i="2"/>
  <c r="I18" i="2"/>
  <c r="H18" i="2"/>
  <c r="G18" i="2"/>
  <c r="F18" i="2"/>
  <c r="E18" i="2"/>
  <c r="D18" i="2"/>
  <c r="C18" i="2"/>
  <c r="N18" i="2" s="1"/>
  <c r="M17" i="2"/>
  <c r="L17" i="2"/>
  <c r="K17" i="2"/>
  <c r="J17" i="2"/>
  <c r="I17" i="2"/>
  <c r="H17" i="2"/>
  <c r="G17" i="2"/>
  <c r="F17" i="2"/>
  <c r="E17" i="2"/>
  <c r="D17" i="2"/>
  <c r="C17" i="2"/>
  <c r="N17" i="2" s="1"/>
  <c r="M16" i="2"/>
  <c r="L16" i="2"/>
  <c r="K16" i="2"/>
  <c r="J16" i="2"/>
  <c r="I16" i="2"/>
  <c r="H16" i="2"/>
  <c r="G16" i="2"/>
  <c r="F16" i="2"/>
  <c r="E16" i="2"/>
  <c r="D16" i="2"/>
  <c r="C16" i="2"/>
  <c r="N16" i="2" s="1"/>
  <c r="M15" i="2"/>
  <c r="L15" i="2"/>
  <c r="K15" i="2"/>
  <c r="J15" i="2"/>
  <c r="I15" i="2"/>
  <c r="H15" i="2"/>
  <c r="G15" i="2"/>
  <c r="F15" i="2"/>
  <c r="E15" i="2"/>
  <c r="D15" i="2"/>
  <c r="C15" i="2"/>
  <c r="N15" i="2" s="1"/>
  <c r="M14" i="2"/>
  <c r="L14" i="2"/>
  <c r="K14" i="2"/>
  <c r="J14" i="2"/>
  <c r="I14" i="2"/>
  <c r="H14" i="2"/>
  <c r="G14" i="2"/>
  <c r="F14" i="2"/>
  <c r="E14" i="2"/>
  <c r="D14" i="2"/>
  <c r="C14" i="2"/>
  <c r="N14" i="2" s="1"/>
  <c r="M13" i="2"/>
  <c r="L13" i="2"/>
  <c r="K13" i="2"/>
  <c r="J13" i="2"/>
  <c r="I13" i="2"/>
  <c r="H13" i="2"/>
  <c r="G13" i="2"/>
  <c r="F13" i="2"/>
  <c r="E13" i="2"/>
  <c r="D13" i="2"/>
  <c r="C13" i="2"/>
  <c r="N13" i="2" s="1"/>
  <c r="M12" i="2"/>
  <c r="L12" i="2"/>
  <c r="K12" i="2"/>
  <c r="J12" i="2"/>
  <c r="I12" i="2"/>
  <c r="H12" i="2"/>
  <c r="G12" i="2"/>
  <c r="F12" i="2"/>
  <c r="E12" i="2"/>
  <c r="D12" i="2"/>
  <c r="C12" i="2"/>
  <c r="N12" i="2" s="1"/>
  <c r="M11" i="2"/>
  <c r="L11" i="2"/>
  <c r="K11" i="2"/>
  <c r="J11" i="2"/>
  <c r="I11" i="2"/>
  <c r="H11" i="2"/>
  <c r="G11" i="2"/>
  <c r="F11" i="2"/>
  <c r="E11" i="2"/>
  <c r="D11" i="2"/>
  <c r="C11" i="2"/>
  <c r="N11" i="2" s="1"/>
  <c r="M10" i="2"/>
  <c r="L10" i="2"/>
  <c r="K10" i="2"/>
  <c r="J10" i="2"/>
  <c r="I10" i="2"/>
  <c r="H10" i="2"/>
  <c r="G10" i="2"/>
  <c r="F10" i="2"/>
  <c r="E10" i="2"/>
  <c r="D10" i="2"/>
  <c r="C10" i="2"/>
  <c r="N10" i="2" s="1"/>
  <c r="M9" i="2"/>
  <c r="L9" i="2"/>
  <c r="K9" i="2"/>
  <c r="J9" i="2"/>
  <c r="I9" i="2"/>
  <c r="H9" i="2"/>
  <c r="G9" i="2"/>
  <c r="F9" i="2"/>
  <c r="E9" i="2"/>
  <c r="D9" i="2"/>
  <c r="C9" i="2"/>
  <c r="N9" i="2" s="1"/>
  <c r="M8" i="2"/>
  <c r="L8" i="2"/>
  <c r="K8" i="2"/>
  <c r="J8" i="2"/>
  <c r="I8" i="2"/>
  <c r="H8" i="2"/>
  <c r="G8" i="2"/>
  <c r="F8" i="2"/>
  <c r="E8" i="2"/>
  <c r="D8" i="2"/>
  <c r="C8" i="2"/>
  <c r="N8" i="2" s="1"/>
  <c r="M7" i="2"/>
  <c r="L7" i="2"/>
  <c r="K7" i="2"/>
  <c r="J7" i="2"/>
  <c r="I7" i="2"/>
  <c r="H7" i="2"/>
  <c r="G7" i="2"/>
  <c r="F7" i="2"/>
  <c r="E7" i="2"/>
  <c r="D7" i="2"/>
  <c r="C7" i="2"/>
  <c r="N7" i="2" s="1"/>
  <c r="M6" i="2"/>
  <c r="L6" i="2"/>
  <c r="K6" i="2"/>
  <c r="J6" i="2"/>
  <c r="I6" i="2"/>
  <c r="H6" i="2"/>
  <c r="G6" i="2"/>
  <c r="F6" i="2"/>
  <c r="E6" i="2"/>
  <c r="D6" i="2"/>
  <c r="C6" i="2"/>
  <c r="B5" i="2"/>
  <c r="B4" i="2" s="1"/>
  <c r="B15" i="1" l="1"/>
  <c r="H4" i="2"/>
  <c r="J11" i="1"/>
  <c r="J14" i="1"/>
  <c r="J12" i="1" l="1"/>
  <c r="J16" i="1" l="1"/>
  <c r="C16" i="1"/>
  <c r="J15" i="1"/>
  <c r="C15" i="1"/>
  <c r="C14" i="1"/>
  <c r="D14" i="1" s="1"/>
  <c r="E14" i="1" s="1"/>
  <c r="J13" i="1"/>
  <c r="C13" i="1"/>
  <c r="D11" i="1"/>
  <c r="E11" i="1" s="1"/>
  <c r="J10" i="1"/>
  <c r="C10" i="1"/>
  <c r="J9" i="1"/>
  <c r="C9" i="1"/>
  <c r="J8" i="1"/>
  <c r="C8" i="1"/>
  <c r="J7" i="1"/>
  <c r="C7" i="1"/>
  <c r="J6" i="1"/>
  <c r="C6" i="1"/>
  <c r="J5" i="1"/>
  <c r="C5" i="1"/>
  <c r="J4" i="1"/>
  <c r="C4" i="1"/>
  <c r="J3" i="1"/>
  <c r="C3" i="1"/>
  <c r="J2" i="1"/>
  <c r="C2" i="1"/>
  <c r="K14" i="1" l="1"/>
  <c r="L14" i="1" s="1"/>
  <c r="H14" i="1"/>
  <c r="I14" i="1" s="1"/>
  <c r="K11" i="1"/>
  <c r="L11" i="1" s="1"/>
  <c r="H11" i="1"/>
  <c r="I11" i="1" s="1"/>
  <c r="J18" i="1"/>
  <c r="D15" i="1" l="1"/>
  <c r="E15" i="1" s="1"/>
  <c r="K15" i="1" l="1"/>
  <c r="L15" i="1" s="1"/>
  <c r="H15" i="1"/>
  <c r="I15" i="1" s="1"/>
  <c r="B7" i="1"/>
  <c r="B2" i="1"/>
  <c r="B10" i="1" l="1"/>
  <c r="B13" i="1"/>
  <c r="B8" i="1"/>
  <c r="D7" i="1"/>
  <c r="E7" i="1" s="1"/>
  <c r="D6" i="1"/>
  <c r="E6" i="1" s="1"/>
  <c r="D2" i="1"/>
  <c r="K7" i="1" l="1"/>
  <c r="L7" i="1" s="1"/>
  <c r="H7" i="1"/>
  <c r="I7" i="1" s="1"/>
  <c r="K6" i="1"/>
  <c r="L6" i="1" s="1"/>
  <c r="H6" i="1"/>
  <c r="I6" i="1" s="1"/>
  <c r="D16" i="1"/>
  <c r="E16" i="1" s="1"/>
  <c r="D3" i="1"/>
  <c r="E3" i="1" s="1"/>
  <c r="D5" i="1"/>
  <c r="E5" i="1" s="1"/>
  <c r="D8" i="1"/>
  <c r="E8" i="1" s="1"/>
  <c r="D9" i="1"/>
  <c r="E9" i="1" s="1"/>
  <c r="D13" i="1"/>
  <c r="E13" i="1" s="1"/>
  <c r="D10" i="1"/>
  <c r="E10" i="1" s="1"/>
  <c r="E2" i="1"/>
  <c r="H2" i="1" s="1"/>
  <c r="I2" i="1" s="1"/>
  <c r="K13" i="1" l="1"/>
  <c r="L13" i="1" s="1"/>
  <c r="H13" i="1"/>
  <c r="I13" i="1" s="1"/>
  <c r="K10" i="1"/>
  <c r="L10" i="1" s="1"/>
  <c r="H10" i="1"/>
  <c r="I10" i="1" s="1"/>
  <c r="K9" i="1"/>
  <c r="L9" i="1" s="1"/>
  <c r="H9" i="1"/>
  <c r="I9" i="1" s="1"/>
  <c r="K8" i="1"/>
  <c r="L8" i="1" s="1"/>
  <c r="H8" i="1"/>
  <c r="I8" i="1" s="1"/>
  <c r="K5" i="1"/>
  <c r="L5" i="1" s="1"/>
  <c r="H5" i="1"/>
  <c r="I5" i="1" s="1"/>
  <c r="K16" i="1"/>
  <c r="L16" i="1" s="1"/>
  <c r="H16" i="1"/>
  <c r="I16" i="1" s="1"/>
  <c r="K3" i="1"/>
  <c r="L3" i="1" s="1"/>
  <c r="H3" i="1"/>
  <c r="I3" i="1"/>
  <c r="K2" i="1"/>
  <c r="L2" i="1" l="1"/>
  <c r="D12" i="1" l="1"/>
  <c r="E12" i="1"/>
  <c r="K12" i="1" l="1"/>
  <c r="H12" i="1"/>
  <c r="I12" i="1" l="1"/>
  <c r="L12" i="1"/>
  <c r="D4" i="1" l="1"/>
  <c r="D18" i="1" s="1"/>
  <c r="E4" i="1"/>
  <c r="B18" i="1"/>
  <c r="K4" i="1" l="1"/>
  <c r="H4" i="1"/>
  <c r="E18" i="1"/>
  <c r="H18" i="1" l="1"/>
  <c r="I18" i="1" s="1"/>
  <c r="I4" i="1"/>
  <c r="K18" i="1"/>
  <c r="L18" i="1" s="1"/>
  <c r="L4" i="1"/>
  <c r="N6" i="2" l="1"/>
  <c r="M4" i="2" l="1"/>
  <c r="L4" i="2"/>
  <c r="K4" i="2"/>
  <c r="J4" i="2"/>
  <c r="I4" i="2"/>
  <c r="G4" i="2"/>
  <c r="F4" i="2"/>
  <c r="E4" i="2"/>
  <c r="D4" i="2"/>
  <c r="C4" i="2"/>
  <c r="N5" i="2"/>
  <c r="N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tc={4EA062A0-BE3E-4ACB-98F3-2F60190870C5}</author>
  </authors>
  <commentList>
    <comment ref="J11" authorId="0" shapeId="0" xr:uid="{4EA062A0-BE3E-4ACB-98F3-2F60190870C5}">
      <text>
        <t>[Threaded comment]
Your version of Excel allows you to read this threaded comment; however, any edits to it will get removed if the file is opened in a newer version of Excel. Learn more: https://go.microsoft.com/fwlink/?linkid=870924
Comment:
    Unified has not booked the 507k reserve for LL according to Kevin’s email</t>
      </text>
    </comment>
  </commentList>
</comments>
</file>

<file path=xl/sharedStrings.xml><?xml version="1.0" encoding="utf-8"?>
<sst xmlns="http://schemas.openxmlformats.org/spreadsheetml/2006/main" count="82" uniqueCount="55">
  <si>
    <t>Company_Code</t>
  </si>
  <si>
    <t>Claim Liability</t>
  </si>
  <si>
    <t>LAE Percentage</t>
  </si>
  <si>
    <t>LAE Liability</t>
  </si>
  <si>
    <t>Claim_Liability_Total</t>
  </si>
  <si>
    <t>ASL</t>
  </si>
  <si>
    <t>AMH</t>
  </si>
  <si>
    <t>GTL</t>
  </si>
  <si>
    <t>NFL</t>
  </si>
  <si>
    <t>NSL</t>
  </si>
  <si>
    <t>PEN</t>
  </si>
  <si>
    <t>PHS</t>
  </si>
  <si>
    <t>PRT</t>
  </si>
  <si>
    <t>USH</t>
  </si>
  <si>
    <t>Total</t>
  </si>
  <si>
    <t>GBR</t>
  </si>
  <si>
    <t>XCH</t>
  </si>
  <si>
    <t>SLI</t>
  </si>
  <si>
    <t>ULI</t>
  </si>
  <si>
    <t>PLICA-NonMS</t>
  </si>
  <si>
    <t>PLICA-MS</t>
  </si>
  <si>
    <t>Pattern Selection</t>
  </si>
  <si>
    <t>Difference</t>
  </si>
  <si>
    <t>Difference %</t>
  </si>
  <si>
    <t>Comment</t>
  </si>
  <si>
    <t>NA</t>
  </si>
  <si>
    <t>Threshold</t>
  </si>
  <si>
    <t>Prior From Unified Files</t>
  </si>
  <si>
    <t>Average Simple12 &amp; Simple6</t>
  </si>
  <si>
    <t>Average Simple3 &amp; Simple6</t>
  </si>
  <si>
    <t>Average Simple12</t>
  </si>
  <si>
    <t>Simple12MS and Avergae 3, 6 and 12 NMS</t>
  </si>
  <si>
    <t>Prior From ARM Scen 6</t>
  </si>
  <si>
    <t>Incurral</t>
  </si>
  <si>
    <t>Month</t>
  </si>
  <si>
    <t>Claim</t>
  </si>
  <si>
    <t>Liability</t>
  </si>
  <si>
    <t>TY 2020</t>
  </si>
  <si>
    <t>TY 2019</t>
  </si>
  <si>
    <t>TY 2021</t>
  </si>
  <si>
    <t>TY 2022</t>
  </si>
  <si>
    <t>TY 2023</t>
  </si>
  <si>
    <t>Pre-HCCUA 2019</t>
  </si>
  <si>
    <t>HCCUA 2022</t>
  </si>
  <si>
    <t>HCCUA 2023</t>
  </si>
  <si>
    <t>HCCUA 2020</t>
  </si>
  <si>
    <t>HCCUA 2021</t>
  </si>
  <si>
    <t>Check</t>
  </si>
  <si>
    <t>TOTAL</t>
  </si>
  <si>
    <t>TY 2024</t>
  </si>
  <si>
    <t>Changed to: Average Simple6 &amp; Simple12</t>
  </si>
  <si>
    <t>We continue using:  Volume All + Change in methodology for the last 3 months (form IELR to BF)</t>
  </si>
  <si>
    <t>We continue using: Change in methodology for the last 3 months (form IELR to BF)</t>
  </si>
  <si>
    <t>We have deleted some big movements from the calculation of the completion factors</t>
  </si>
  <si>
    <t>Lower IBNP due to high payment for incurral month July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</si>
</sst>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mmm\-yy;@"/>
  </numFmts>
  <fonts count="8" x14ac:knownFonts="1">
    <font>
      <sz val="9"/>
      <color theme="1"/>
      <name val="Arial Narrow"/>
      <family val="2"/>
    </font>
    <font>
      <sz val="9"/>
      <color theme="1"/>
      <name val="Arial Narrow"/>
      <family val="2"/>
    </font>
    <font>
      <sz val="9"/>
      <color rgb="FFFF0000"/>
      <name val="Arial Narrow"/>
      <family val="2"/>
    </font>
    <font>
      <b/>
      <sz val="9"/>
      <color theme="1"/>
      <name val="Arial Narrow"/>
      <family val="2"/>
    </font>
    <font>
      <b/>
      <sz val="9"/>
      <color theme="0"/>
      <name val="Aptos Narrow"/>
      <family val="2"/>
    </font>
    <font>
      <sz val="9"/>
      <color theme="3"/>
      <name val="Arial Narrow"/>
      <family val="2"/>
    </font>
    <font>
      <sz val="9"/>
      <name val="Arial Narrow"/>
      <family val="2"/>
    </font>
    <font>
      <b/>
      <sz val="9"/>
      <color theme="0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5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10" fontId="5" fillId="0" borderId="0" xfId="0" applyNumberFormat="1" applyFont="1"/>
    <xf numFmtId="0" fontId="3" fillId="0" borderId="0" xfId="0" applyFont="1"/>
    <xf numFmtId="164" fontId="0" fillId="0" borderId="0" xfId="2" applyNumberFormat="1" applyFont="1"/>
    <xf numFmtId="164" fontId="0" fillId="0" borderId="0" xfId="0" applyNumberFormat="1"/>
    <xf numFmtId="9" fontId="0" fillId="0" borderId="0" xfId="1" applyFont="1"/>
    <xf numFmtId="9" fontId="0" fillId="0" borderId="0" xfId="1" applyFont="1" applyAlignment="1">
      <alignment wrapText="1"/>
    </xf>
    <xf numFmtId="165" fontId="0" fillId="0" borderId="0" xfId="0" applyNumberFormat="1"/>
    <xf numFmtId="43" fontId="0" fillId="0" borderId="0" xfId="0" applyNumberFormat="1"/>
    <xf numFmtId="43" fontId="0" fillId="0" borderId="0" xfId="2" applyFont="1"/>
    <xf numFmtId="43" fontId="2" fillId="0" borderId="0" xfId="0" applyNumberFormat="1" applyFont="1"/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 applyAlignment="1">
      <alignment horizontal="center"/>
    </xf>
    <xf numFmtId="0" fontId="3" fillId="0" borderId="2" xfId="0" applyFont="1" applyBorder="1"/>
    <xf numFmtId="0" fontId="3" fillId="0" borderId="7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0" xfId="1" applyFont="1" applyFill="1" applyAlignment="1">
      <alignment wrapText="1"/>
    </xf>
    <xf numFmtId="9" fontId="6" fillId="0" borderId="0" xfId="1" applyFont="1" applyFill="1" applyAlignment="1">
      <alignment wrapText="1"/>
    </xf>
    <xf numFmtId="164" fontId="0" fillId="3" borderId="0" xfId="0" applyNumberFormat="1" applyFill="1"/>
    <xf numFmtId="9" fontId="0" fillId="3" borderId="0" xfId="1" applyFont="1" applyFill="1"/>
    <xf numFmtId="164" fontId="0" fillId="0" borderId="0" xfId="2" applyNumberFormat="1" applyFont="1" applyFill="1"/>
    <xf numFmtId="9" fontId="0" fillId="0" borderId="0" xfId="1" applyFont="1" applyFill="1"/>
    <xf numFmtId="0" fontId="0" fillId="4" borderId="0" xfId="0" applyFill="1"/>
    <xf numFmtId="164" fontId="0" fillId="4" borderId="0" xfId="0" applyNumberFormat="1" applyFill="1"/>
    <xf numFmtId="10" fontId="0" fillId="4" borderId="0" xfId="0" applyNumberFormat="1" applyFill="1"/>
    <xf numFmtId="164" fontId="0" fillId="4" borderId="0" xfId="2" applyNumberFormat="1" applyFont="1" applyFill="1"/>
    <xf numFmtId="9" fontId="0" fillId="4" borderId="0" xfId="1" applyFont="1" applyFill="1"/>
    <xf numFmtId="9" fontId="0" fillId="4" borderId="0" xfId="1" applyFont="1" applyFill="1" applyAlignment="1">
      <alignment wrapText="1"/>
    </xf>
    <xf numFmtId="0" fontId="0" fillId="0" borderId="0" xfId="0" applyAlignment="1">
      <alignment wrapText="1"/>
    </xf>
    <xf numFmtId="164" fontId="3" fillId="0" borderId="0" xfId="0" applyNumberFormat="1" applyFont="1"/>
    <xf numFmtId="10" fontId="0" fillId="0" borderId="0" xfId="0" applyNumberFormat="1"/>
    <xf numFmtId="0" fontId="6" fillId="0" borderId="0" xfId="0" applyFont="1" applyAlignment="1">
      <alignment vertical="center" wrapText="1"/>
    </xf>
    <xf numFmtId="164" fontId="0" fillId="6" borderId="0" xfId="0" applyNumberFormat="1" applyFill="1"/>
    <xf numFmtId="0" fontId="7" fillId="5" borderId="0" xfId="0" applyFont="1" applyFill="1" applyAlignment="1">
      <alignment horizontal="center"/>
    </xf>
    <xf numFmtId="0" fontId="0" fillId="0" borderId="0" xfId="0" applyFill="1"/>
    <xf numFmtId="164" fontId="0" fillId="0" borderId="0" xfId="0" applyNumberFormat="1" applyFill="1"/>
    <xf numFmtId="10" fontId="0" fillId="0" borderId="0" xfId="0" applyNumberFormat="1" applyFill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microsoft.com/office/2017/10/relationships/person" Target="persons/person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tyles" Target="styles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133350</xdr:rowOff>
    </xdr:to>
    <xdr:sp macro="" textlink="">
      <xdr:nvSpPr>
        <xdr:cNvPr id="1026" name="AutoShape 2" descr="Imagen cargada">
          <a:extLst>
            <a:ext uri="{FF2B5EF4-FFF2-40B4-BE49-F238E27FC236}">
              <a16:creationId xmlns:a16="http://schemas.microsoft.com/office/drawing/2014/main" id="{80E23E74-5752-3373-DB8B-A872EE3C44A4}"/>
            </a:ext>
          </a:extLst>
        </xdr:cNvPr>
        <xdr:cNvSpPr>
          <a:spLocks noChangeAspect="1" noChangeArrowheads="1"/>
        </xdr:cNvSpPr>
      </xdr:nvSpPr>
      <xdr:spPr bwMode="auto">
        <a:xfrm>
          <a:off x="0" y="411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333375</xdr:colOff>
      <xdr:row>20</xdr:row>
      <xdr:rowOff>98812</xdr:rowOff>
    </xdr:from>
    <xdr:to>
      <xdr:col>12</xdr:col>
      <xdr:colOff>2743200</xdr:colOff>
      <xdr:row>28</xdr:row>
      <xdr:rowOff>9776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4BBF6E-8718-4B9F-D4E1-6760333BE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375" y="4042162"/>
          <a:ext cx="9486900" cy="128256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ctrisk-my.sharepoint.com/personal/sofia_moretti_actrisk_com/Documents/Documents/GitHub/DMI_IBNP_v2/Process%20Results/Unified_IBNP_ASL.xlsx" TargetMode="External"/><Relationship Id="rId1" Type="http://schemas.openxmlformats.org/officeDocument/2006/relationships/externalLinkPath" Target="Unified_IBNP_AS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RDS02\Unified$\04_Inforce_Management\01_Products_Specs\Health_Block_Information\20240613_ShareFile_WriteUps\American%20Standard%20Life\ASL%20Claim%20Liability%2003-24.xlsx" TargetMode="External"/><Relationship Id="rId1" Type="http://schemas.openxmlformats.org/officeDocument/2006/relationships/externalLinkPath" Target="file:///\\RDS02\Unified$\04_Inforce_Management\01_Products_Specs\Health_Block_Information\20240613_ShareFile_WriteUps\American%20Standard%20Life\ASL%20Claim%20Liability%2003-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DS02\Unified$\01_Financial_Reporting\03_Stat\99_ARM_IBNP_Process\2025.06\Unified_Claims_Liability_Summary_0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ctrisk-my.sharepoint.com/personal/sofia_moretti_actrisk_com/Documents/Documents/GitHub/DMI_IBNP_v2/Process%20Results/Unified_IBNP_AMH.xlsx" TargetMode="External"/><Relationship Id="rId1" Type="http://schemas.openxmlformats.org/officeDocument/2006/relationships/externalLinkPath" Target="Unified_IBNP_AMH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RDS02\Unified$\04_Inforce_Management\01_Products_Specs\Health_Block_Information\20240613_ShareFile_WriteUps\Associated%20Mutual%20Hospital\AMH%20Claim%20Liability%2003-24.xlsx" TargetMode="External"/><Relationship Id="rId1" Type="http://schemas.openxmlformats.org/officeDocument/2006/relationships/externalLinkPath" Target="file:///\\RDS02\Unified$\04_Inforce_Management\01_Products_Specs\Health_Block_Information\20240613_ShareFile_WriteUps\Associated%20Mutual%20Hospital\AMH%20Claim%20Liability%2003-24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ctrisk-my.sharepoint.com/personal/sofia_moretti_actrisk_com/Documents/Documents/GitHub/DMI_IBNP_v2/Process%20Results/Unified_IBNP_GBR.xlsx" TargetMode="External"/><Relationship Id="rId1" Type="http://schemas.openxmlformats.org/officeDocument/2006/relationships/externalLinkPath" Target="Unified_IBNP_GBR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RDS02\Unified$\04_Inforce_Management\01_Products_Specs\Health_Block_Information\20240613_ShareFile_WriteUps\Gerber%20Life\Gerber%20Claim%20Liability%20033124.xlsx" TargetMode="External"/><Relationship Id="rId1" Type="http://schemas.openxmlformats.org/officeDocument/2006/relationships/externalLinkPath" Target="file:///\\RDS02\Unified$\04_Inforce_Management\01_Products_Specs\Health_Block_Information\20240613_ShareFile_WriteUps\Gerber%20Life\Gerber%20Claim%20Liability%20033124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ctrisk-my.sharepoint.com/personal/sofia_moretti_actrisk_com/Documents/Documents/GitHub/DMI_IBNP_v2/Process%20Results/Unified_IBNP_GTL.xlsx" TargetMode="External"/><Relationship Id="rId1" Type="http://schemas.openxmlformats.org/officeDocument/2006/relationships/externalLinkPath" Target="Unified_IBNP_GTL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RDS02\Unified$\04_Inforce_Management\01_Products_Specs\Health_Block_Information\20240613_ShareFile_WriteUps\GTL\GTL%20Claim%20Liability%203-24.xlsx" TargetMode="External"/><Relationship Id="rId1" Type="http://schemas.openxmlformats.org/officeDocument/2006/relationships/externalLinkPath" Target="file:///\\RDS02\Unified$\04_Inforce_Management\01_Products_Specs\Health_Block_Information\20240613_ShareFile_WriteUps\GTL\GTL%20Claim%20Liability%203-24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ctrisk-my.sharepoint.com/personal/sofia_moretti_actrisk_com/Documents/Documents/GitHub/DMI_IBNP_v2/Process%20Results/Unified_IBNP_NFL.xlsx" TargetMode="External"/><Relationship Id="rId1" Type="http://schemas.openxmlformats.org/officeDocument/2006/relationships/externalLinkPath" Target="Unified_IBNP_NFL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RDS02\Unified$\04_Inforce_Management\01_Products_Specs\Health_Block_Information\20240613_ShareFile_WriteUps\NFL\NFL%20Claim%20Liability%2003-24.xlsx" TargetMode="External"/><Relationship Id="rId1" Type="http://schemas.openxmlformats.org/officeDocument/2006/relationships/externalLinkPath" Target="file:///\\RDS02\Unified$\04_Inforce_Management\01_Products_Specs\Health_Block_Information\20240613_ShareFile_WriteUps\NFL\NFL%20Claim%20Liability%2003-24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ctrisk-my.sharepoint.com/personal/sofia_moretti_actrisk_com/Documents/Documents/GitHub/DMI_IBNP_v2/Process%20Results/Unified_IBNP_NSL.xlsx" TargetMode="External"/><Relationship Id="rId1" Type="http://schemas.openxmlformats.org/officeDocument/2006/relationships/externalLinkPath" Target="Unified_IBNP_NSL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RDS02\Unified$\04_Inforce_Management\01_Products_Specs\Health_Block_Information\20240613_ShareFile_WriteUps\NSL\NSL%20Claim%20Liability%20033124.xlsx" TargetMode="External"/><Relationship Id="rId1" Type="http://schemas.openxmlformats.org/officeDocument/2006/relationships/externalLinkPath" Target="file:///\\RDS02\Unified$\04_Inforce_Management\01_Products_Specs\Health_Block_Information\20240613_ShareFile_WriteUps\NSL\NSL%20Claim%20Liability%20033124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ctrisk-my.sharepoint.com/personal/sofia_moretti_actrisk_com/Documents/Documents/GitHub/DMI_IBNP_v2/Process%20Results/Unified_IBNP_PEN.xlsx" TargetMode="External"/><Relationship Id="rId1" Type="http://schemas.openxmlformats.org/officeDocument/2006/relationships/externalLinkPath" Target="Unified_IBNP_PEN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RDS02\Unified$\04_Inforce_Management\01_Products_Specs\Health_Block_Information\20240613_ShareFile_WriteUps\PEN\PEN%20Claim%20Liability%2003-24.xlsx" TargetMode="External"/><Relationship Id="rId1" Type="http://schemas.openxmlformats.org/officeDocument/2006/relationships/externalLinkPath" Target="file:///\\RDS02\Unified$\04_Inforce_Management\01_Products_Specs\Health_Block_Information\20240613_ShareFile_WriteUps\PEN\PEN%20Claim%20Liability%2003-24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RDS02\Unified$\04_Inforce_Management\01_Products_Specs\Health_Block_Information\20240613_ShareFile_WriteUps\PHS\PHS%20Claim%20Liability%2003-24.xlsx" TargetMode="External"/><Relationship Id="rId1" Type="http://schemas.openxmlformats.org/officeDocument/2006/relationships/externalLinkPath" Target="file:///\\RDS02\Unified$\04_Inforce_Management\01_Products_Specs\Health_Block_Information\20240613_ShareFile_WriteUps\PHS\PHS%20Claim%20Liability%2003-24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ctrisk-my.sharepoint.com/personal/sofia_moretti_actrisk_com/Documents/Documents/GitHub/DMI_IBNP_v2/Process%20Results/Unified_IBNP_PRT.xlsx" TargetMode="External"/><Relationship Id="rId1" Type="http://schemas.openxmlformats.org/officeDocument/2006/relationships/externalLinkPath" Target="Unified_IBNP_PRT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RDS02\Unified$\04_Inforce_Management\01_Products_Specs\Health_Block_Information\20240613_ShareFile_WriteUps\PRT\PRT%20Claim%20Liability%203-24.xlsx" TargetMode="External"/><Relationship Id="rId1" Type="http://schemas.openxmlformats.org/officeDocument/2006/relationships/externalLinkPath" Target="file:///\\RDS02\Unified$\04_Inforce_Management\01_Products_Specs\Health_Block_Information\20240613_ShareFile_WriteUps\PRT\PRT%20Claim%20Liability%203-24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RDS02\Unified$\04_Inforce_Management\01_Products_Specs\Health_Block_Information\20240613_ShareFile_WriteUps\Puritan%20Life%20Insurance%20Company%20of%20America\03%202024\IBNR_Output_NonMS_0324.xlsx" TargetMode="External"/><Relationship Id="rId1" Type="http://schemas.openxmlformats.org/officeDocument/2006/relationships/externalLinkPath" Target="file:///\\RDS02\Unified$\04_Inforce_Management\01_Products_Specs\Health_Block_Information\20240613_ShareFile_WriteUps\Puritan%20Life%20Insurance%20Company%20of%20America\03%202024\IBNR_Output_NonMS_0324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RDS02\Unified$\04_Inforce_Management\01_Products_Specs\Health_Block_Information\20240613_ShareFile_WriteUps\Puritan%20Life%20Insurance%20Company%20of%20America\03%202024\IBNR_Output_MS_0324.xlsx" TargetMode="External"/><Relationship Id="rId1" Type="http://schemas.openxmlformats.org/officeDocument/2006/relationships/externalLinkPath" Target="file:///\\RDS02\Unified$\04_Inforce_Management\01_Products_Specs\Health_Block_Information\20240613_ShareFile_WriteUps\Puritan%20Life%20Insurance%20Company%20of%20America\03%202024\IBNR_Output_MS_0324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ctrisk-my.sharepoint.com/personal/sofia_moretti_actrisk_com/Documents/Documents/GitHub/DMI_IBNP_v2/Process%20Results/Unified_IBNP_SLI.xlsx" TargetMode="External"/><Relationship Id="rId1" Type="http://schemas.openxmlformats.org/officeDocument/2006/relationships/externalLinkPath" Target="Unified_IBNP_SLI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RDS02\Unified$\04_Inforce_Management\01_Products_Specs\Health_Block_Information\20240613_ShareFile_WriteUps\SLICA\SLI%20Claim%20Liability%2003-24.xlsx" TargetMode="External"/><Relationship Id="rId1" Type="http://schemas.openxmlformats.org/officeDocument/2006/relationships/externalLinkPath" Target="file:///\\RDS02\Unified$\04_Inforce_Management\01_Products_Specs\Health_Block_Information\20240613_ShareFile_WriteUps\SLICA\SLI%20Claim%20Liability%2003-24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RDS02\Unified$\04_Inforce_Management\01_Products_Specs\Health_Block_Information\20240613_ShareFile_WriteUps\ULI%20Med%20Supp\NB%20MS%20Claim%20Liability%20033124.xlsx" TargetMode="External"/><Relationship Id="rId1" Type="http://schemas.openxmlformats.org/officeDocument/2006/relationships/externalLinkPath" Target="file:///\\RDS02\Unified$\04_Inforce_Management\01_Products_Specs\Health_Block_Information\20240613_ShareFile_WriteUps\ULI%20Med%20Supp\NB%20MS%20Claim%20Liability%20033124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ctrisk-my.sharepoint.com/personal/sofia_moretti_actrisk_com/Documents/Documents/GitHub/DMI_IBNP_v2/Process%20Results/Unified_IBNP_Split_USH.xlsx" TargetMode="External"/><Relationship Id="rId1" Type="http://schemas.openxmlformats.org/officeDocument/2006/relationships/externalLinkPath" Target="Unified_IBNP_Split_USH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RDS02\Unified$\04_Inforce_Management\01_Products_Specs\Health_Block_Information\20240613_ShareFile_WriteUps\USH\USH%20Claim%20Liability%2003-24%20-%20Split%20MS.xlsx" TargetMode="External"/><Relationship Id="rId1" Type="http://schemas.openxmlformats.org/officeDocument/2006/relationships/externalLinkPath" Target="file:///\\RDS02\Unified$\04_Inforce_Management\01_Products_Specs\Health_Block_Information\20240613_ShareFile_WriteUps\USH\USH%20Claim%20Liability%2003-24%20-%20Split%20MS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RDS02\Unified$\04_Inforce_Management\01_Products_Specs\Health_Block_Information\20240613_ShareFile_WriteUps\Xchange%20Benefits\XChange%20Claim%20Liability%20033124.xlsx" TargetMode="External"/><Relationship Id="rId1" Type="http://schemas.openxmlformats.org/officeDocument/2006/relationships/externalLinkPath" Target="file:///\\RDS02\Unified$\04_Inforce_Management\01_Products_Specs\Health_Block_Information\20240613_ShareFile_WriteUps\Xchange%20Benefits\XChange%20Claim%20Liability%20033124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ctrisk-my.sharepoint.com/personal/sofia_moretti_actrisk_com/Documents/Documents/GitHub/DMI_IBNP_v2/Process%20Results/Unified_IBNP_XCH.xlsx" TargetMode="External"/><Relationship Id="rId1" Type="http://schemas.openxmlformats.org/officeDocument/2006/relationships/externalLinkPath" Target="Unified_IBNP_XCH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Moretti\OneDrive%20-%20ARM\Documents\GitHub\DMI_IBNP\Process%20Results\Allocation_XCH.xlsx" TargetMode="External"/><Relationship Id="rId1" Type="http://schemas.openxmlformats.org/officeDocument/2006/relationships/externalLinkPath" Target="Allocation_XCH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Moretti\OneDrive%20-%20ARM\Documents\GitHub\DMI_IBNP_v2\Process%20Results\Unified_IBNP_NMS_PLICA.xlsx" TargetMode="External"/><Relationship Id="rId1" Type="http://schemas.openxmlformats.org/officeDocument/2006/relationships/externalLinkPath" Target="Unified_IBNP_NMS_PLICA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Moretti\OneDrive%20-%20ARM\Documents\GitHub\DMI_IBNP_v2\Process%20Results\Unified_IBNP_MS_PLICA.xlsx" TargetMode="External"/><Relationship Id="rId1" Type="http://schemas.openxmlformats.org/officeDocument/2006/relationships/externalLinkPath" Target="Unified_IBNP_MS_PLICA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Moretti\OneDrive%20-%20ARM\Documents\GitHub\DMI_IBNP_v2\Process%20Results\Unified_IBNP_ULI.xlsx" TargetMode="External"/><Relationship Id="rId1" Type="http://schemas.openxmlformats.org/officeDocument/2006/relationships/externalLinkPath" Target="Unified_IBNP_UL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pletion Factors"/>
      <sheetName val="Plot Patterns"/>
      <sheetName val="Summary"/>
    </sheetNames>
    <sheetDataSet>
      <sheetData sheetId="0"/>
      <sheetData sheetId="1"/>
      <sheetData sheetId="2">
        <row r="33">
          <cell r="H33">
            <v>21969.96455584604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L_by_LOB"/>
      <sheetName val="EOB Information"/>
      <sheetName val="PT"/>
      <sheetName val="Sch H"/>
      <sheetName val="Completion Factors"/>
      <sheetName val="Summary"/>
      <sheetName val="Premium"/>
      <sheetName val="PL"/>
      <sheetName val="PLAN CODE TABLE"/>
    </sheetNames>
    <sheetDataSet>
      <sheetData sheetId="0"/>
      <sheetData sheetId="1"/>
      <sheetData sheetId="2"/>
      <sheetData sheetId="3"/>
      <sheetData sheetId="4"/>
      <sheetData sheetId="5">
        <row r="35">
          <cell r="H35">
            <v>7.4999999999999997E-2</v>
          </cell>
        </row>
        <row r="36">
          <cell r="H36">
            <v>10194.181693825194</v>
          </cell>
        </row>
      </sheetData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XCH Allocation"/>
    </sheetNames>
    <sheetDataSet>
      <sheetData sheetId="0">
        <row r="2">
          <cell r="E2">
            <v>25253.89523097669</v>
          </cell>
        </row>
        <row r="3">
          <cell r="E3">
            <v>2927.3758692989568</v>
          </cell>
        </row>
        <row r="5">
          <cell r="E5">
            <v>261057.25440506521</v>
          </cell>
        </row>
        <row r="6">
          <cell r="E6">
            <v>49070.915544414376</v>
          </cell>
        </row>
        <row r="7">
          <cell r="E7">
            <v>56693.283197357028</v>
          </cell>
        </row>
        <row r="8">
          <cell r="E8">
            <v>83112.205943377252</v>
          </cell>
        </row>
        <row r="9">
          <cell r="B9">
            <v>92251.644638878846</v>
          </cell>
          <cell r="E9">
            <v>99170.517986794759</v>
          </cell>
        </row>
        <row r="10">
          <cell r="E10">
            <v>70989.253411493424</v>
          </cell>
        </row>
        <row r="11">
          <cell r="E11">
            <v>115681.40306044983</v>
          </cell>
        </row>
        <row r="12">
          <cell r="E12">
            <v>7638.2181637064386</v>
          </cell>
        </row>
        <row r="13">
          <cell r="E13">
            <v>22734.495230430937</v>
          </cell>
        </row>
        <row r="14">
          <cell r="E14">
            <v>94502.94588500075</v>
          </cell>
        </row>
        <row r="15">
          <cell r="E15">
            <v>40111.110429165485</v>
          </cell>
        </row>
        <row r="16">
          <cell r="B16">
            <v>58620.779807323081</v>
          </cell>
          <cell r="E16">
            <v>63017.338292872315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pletion Factors"/>
      <sheetName val="Plot Patterns"/>
      <sheetName val="Summary"/>
      <sheetName val="Summary BF"/>
    </sheetNames>
    <sheetDataSet>
      <sheetData sheetId="0" refreshError="1"/>
      <sheetData sheetId="1" refreshError="1"/>
      <sheetData sheetId="2">
        <row r="33">
          <cell r="H33">
            <v>2882.8717706335037</v>
          </cell>
        </row>
      </sheetData>
      <sheetData sheetId="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y_LOB"/>
      <sheetName val="EOB Information"/>
      <sheetName val="Claim Triangle"/>
      <sheetName val="Completion Factors"/>
      <sheetName val="Premium"/>
      <sheetName val="PL"/>
      <sheetName val="Summary"/>
      <sheetName val="Assume split"/>
      <sheetName val="PLAN LOOKUP"/>
    </sheetNames>
    <sheetDataSet>
      <sheetData sheetId="0"/>
      <sheetData sheetId="1"/>
      <sheetData sheetId="2"/>
      <sheetData sheetId="3"/>
      <sheetData sheetId="4"/>
      <sheetData sheetId="5"/>
      <sheetData sheetId="6">
        <row r="35">
          <cell r="H35">
            <v>7.4999999999999997E-2</v>
          </cell>
        </row>
        <row r="36">
          <cell r="H36">
            <v>2852.8990141421973</v>
          </cell>
        </row>
      </sheetData>
      <sheetData sheetId="7"/>
      <sheetData sheetId="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pletion Factors"/>
      <sheetName val="Plot Patterns"/>
      <sheetName val="Summary"/>
      <sheetName val="Summary BF"/>
    </sheetNames>
    <sheetDataSet>
      <sheetData sheetId="0" refreshError="1"/>
      <sheetData sheetId="1" refreshError="1"/>
      <sheetData sheetId="2">
        <row r="33">
          <cell r="H33">
            <v>32648.325831728733</v>
          </cell>
        </row>
      </sheetData>
      <sheetData sheetId="3">
        <row r="33">
          <cell r="H33">
            <v>23732.13638883808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CL_Split_By_LOB"/>
      <sheetName val="EOB Information"/>
      <sheetName val="PT"/>
      <sheetName val="Summary"/>
      <sheetName val="Completion Factors"/>
      <sheetName val="Premium"/>
      <sheetName val="PL"/>
    </sheetNames>
    <sheetDataSet>
      <sheetData sheetId="0"/>
      <sheetData sheetId="1"/>
      <sheetData sheetId="2"/>
      <sheetData sheetId="3"/>
      <sheetData sheetId="4">
        <row r="35">
          <cell r="H35">
            <v>7.4999999999999997E-2</v>
          </cell>
        </row>
        <row r="36">
          <cell r="H36">
            <v>46527.596958871203</v>
          </cell>
        </row>
      </sheetData>
      <sheetData sheetId="5"/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pletion Factors"/>
      <sheetName val="Plot Patterns"/>
      <sheetName val="Summary"/>
      <sheetName val="Summary BF"/>
    </sheetNames>
    <sheetDataSet>
      <sheetData sheetId="0" refreshError="1"/>
      <sheetData sheetId="1" refreshError="1"/>
      <sheetData sheetId="2" refreshError="1"/>
      <sheetData sheetId="3">
        <row r="33">
          <cell r="H33">
            <v>243474.73745570186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ocument"/>
      <sheetName val="CL_By_LOB"/>
      <sheetName val="EOB"/>
      <sheetName val="Plan_Code_Table"/>
      <sheetName val="Claim Triangle"/>
      <sheetName val="Completion Factors"/>
      <sheetName val="Premium"/>
      <sheetName val="Summary"/>
      <sheetName val="Split"/>
      <sheetName val="P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5">
          <cell r="H35">
            <v>7.4999999999999997E-2</v>
          </cell>
        </row>
        <row r="36">
          <cell r="H36">
            <v>88593.393911147272</v>
          </cell>
        </row>
      </sheetData>
      <sheetData sheetId="8"/>
      <sheetData sheetId="9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pletion Factors"/>
      <sheetName val="Plot Patterns"/>
      <sheetName val="Summary"/>
      <sheetName val="Summary BF"/>
    </sheetNames>
    <sheetDataSet>
      <sheetData sheetId="0" refreshError="1"/>
      <sheetData sheetId="1" refreshError="1"/>
      <sheetData sheetId="2" refreshError="1"/>
      <sheetData sheetId="3">
        <row r="33">
          <cell r="H33">
            <v>46271.444131693956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ocument"/>
      <sheetName val="Completion Factors"/>
      <sheetName val="EOB Information"/>
      <sheetName val="PT"/>
      <sheetName val="Sch H"/>
      <sheetName val="Summary"/>
      <sheetName val="Premium"/>
      <sheetName val="PL"/>
      <sheetName val="Plan Code Table"/>
    </sheetNames>
    <sheetDataSet>
      <sheetData sheetId="0"/>
      <sheetData sheetId="1"/>
      <sheetData sheetId="2"/>
      <sheetData sheetId="3"/>
      <sheetData sheetId="4"/>
      <sheetData sheetId="5">
        <row r="35">
          <cell r="H35">
            <v>7.4999999999999997E-2</v>
          </cell>
        </row>
        <row r="36">
          <cell r="H36">
            <v>32709.246771985087</v>
          </cell>
        </row>
      </sheetData>
      <sheetData sheetId="6"/>
      <sheetData sheetId="7"/>
      <sheetData sheetId="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pletion Factors"/>
      <sheetName val="Plot Patterns"/>
      <sheetName val="Summary"/>
    </sheetNames>
    <sheetDataSet>
      <sheetData sheetId="0" refreshError="1"/>
      <sheetData sheetId="1" refreshError="1"/>
      <sheetData sheetId="2">
        <row r="33">
          <cell r="H33">
            <v>48262.187586012289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 CODE TABLE"/>
      <sheetName val="Split_By_LOB"/>
      <sheetName val="EOB Information"/>
      <sheetName val="Claim Triangle"/>
      <sheetName val="Sch H"/>
      <sheetName val="PL"/>
      <sheetName val="Premium"/>
      <sheetName val="Summary"/>
      <sheetName val="Assume split"/>
      <sheetName val="Completion Facto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5">
          <cell r="H35">
            <v>7.4999999999999997E-2</v>
          </cell>
        </row>
        <row r="36">
          <cell r="H36">
            <v>43941.36</v>
          </cell>
        </row>
      </sheetData>
      <sheetData sheetId="8"/>
      <sheetData sheetId="9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pletion Factors"/>
      <sheetName val="Plot Patterns"/>
      <sheetName val="Summary"/>
    </sheetNames>
    <sheetDataSet>
      <sheetData sheetId="0" refreshError="1"/>
      <sheetData sheetId="1" refreshError="1"/>
      <sheetData sheetId="2">
        <row r="33">
          <cell r="H33">
            <v>76774.229424188496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y_LOB"/>
      <sheetName val="EOB Information"/>
      <sheetName val="PT"/>
      <sheetName val="Sch H"/>
      <sheetName val="Completion Factors"/>
      <sheetName val="Summary"/>
      <sheetName val="Premium"/>
      <sheetName val="PL"/>
    </sheetNames>
    <sheetDataSet>
      <sheetData sheetId="0"/>
      <sheetData sheetId="1"/>
      <sheetData sheetId="2"/>
      <sheetData sheetId="3"/>
      <sheetData sheetId="4"/>
      <sheetData sheetId="5">
        <row r="35">
          <cell r="H35">
            <v>7.4999999999999997E-2</v>
          </cell>
        </row>
        <row r="36">
          <cell r="H36">
            <v>158653.1571364796</v>
          </cell>
        </row>
      </sheetData>
      <sheetData sheetId="6"/>
      <sheetData sheetId="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OB"/>
      <sheetName val="Claim Triangle"/>
      <sheetName val="Completion Factors"/>
      <sheetName val="Summary"/>
      <sheetName val="Premium"/>
    </sheetNames>
    <sheetDataSet>
      <sheetData sheetId="0"/>
      <sheetData sheetId="1"/>
      <sheetData sheetId="2"/>
      <sheetData sheetId="3">
        <row r="35">
          <cell r="H35">
            <v>7.4999999999999997E-2</v>
          </cell>
        </row>
        <row r="36">
          <cell r="H36">
            <v>167515.8389747378</v>
          </cell>
        </row>
      </sheetData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pletion Factors"/>
      <sheetName val="Plot Patterns"/>
      <sheetName val="Summary"/>
    </sheetNames>
    <sheetDataSet>
      <sheetData sheetId="0" refreshError="1"/>
      <sheetData sheetId="1" refreshError="1"/>
      <sheetData sheetId="2">
        <row r="33">
          <cell r="H33">
            <v>34154.231005837806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ocument"/>
      <sheetName val="Completion Factors"/>
      <sheetName val="CL_By_LOB"/>
      <sheetName val="Claim Data"/>
      <sheetName val="PlanCodeTable"/>
      <sheetName val="PT"/>
      <sheetName val="Summary"/>
      <sheetName val="Premium"/>
      <sheetName val="PL"/>
    </sheetNames>
    <sheetDataSet>
      <sheetData sheetId="0"/>
      <sheetData sheetId="1"/>
      <sheetData sheetId="2"/>
      <sheetData sheetId="3"/>
      <sheetData sheetId="4"/>
      <sheetData sheetId="5"/>
      <sheetData sheetId="6">
        <row r="35">
          <cell r="H35">
            <v>7.4999999999999997E-2</v>
          </cell>
        </row>
        <row r="36">
          <cell r="H36">
            <v>61403.00276625227</v>
          </cell>
        </row>
      </sheetData>
      <sheetData sheetId="7"/>
      <sheetData sheetId="8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Sheet2"/>
      <sheetName val="Sheet3"/>
    </sheetNames>
    <sheetDataSet>
      <sheetData sheetId="0">
        <row r="35">
          <cell r="E35">
            <v>507000</v>
          </cell>
        </row>
        <row r="36">
          <cell r="E36">
            <v>628236.15</v>
          </cell>
        </row>
      </sheetData>
      <sheetData sheetId="1"/>
      <sheetData sheetId="2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</sheetNames>
    <sheetDataSet>
      <sheetData sheetId="0">
        <row r="36">
          <cell r="E36">
            <v>21308.7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pletion Factors"/>
      <sheetName val="Plot Patterns"/>
      <sheetName val="Summary"/>
    </sheetNames>
    <sheetDataSet>
      <sheetData sheetId="0" refreshError="1"/>
      <sheetData sheetId="1" refreshError="1"/>
      <sheetData sheetId="2">
        <row r="33">
          <cell r="H33">
            <v>181112.74629495569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pletion Factors"/>
      <sheetName val="CL_By_LOB"/>
      <sheetName val="EOB Information"/>
      <sheetName val="PT"/>
      <sheetName val="Sch H"/>
      <sheetName val="Summary"/>
      <sheetName val="Premium"/>
      <sheetName val="PL"/>
      <sheetName val="Plan Code Table"/>
    </sheetNames>
    <sheetDataSet>
      <sheetData sheetId="0"/>
      <sheetData sheetId="1"/>
      <sheetData sheetId="2"/>
      <sheetData sheetId="3"/>
      <sheetData sheetId="4"/>
      <sheetData sheetId="5">
        <row r="35">
          <cell r="H35">
            <v>7.4999999999999997E-2</v>
          </cell>
        </row>
        <row r="36">
          <cell r="H36">
            <v>22925.112714356808</v>
          </cell>
        </row>
      </sheetData>
      <sheetData sheetId="6"/>
      <sheetData sheetId="7"/>
      <sheetData sheetId="8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laims"/>
      <sheetName val="Summary"/>
      <sheetName val="Completion Factors"/>
      <sheetName val="Premium"/>
    </sheetNames>
    <sheetDataSet>
      <sheetData sheetId="0"/>
      <sheetData sheetId="1">
        <row r="35">
          <cell r="H35">
            <v>7.4999999999999997E-2</v>
          </cell>
        </row>
        <row r="36">
          <cell r="H36">
            <v>60621.568508703676</v>
          </cell>
        </row>
      </sheetData>
      <sheetData sheetId="2"/>
      <sheetData sheetId="3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pletion Factors"/>
      <sheetName val="Plot Patterns"/>
      <sheetName val="Summary"/>
    </sheetNames>
    <sheetDataSet>
      <sheetData sheetId="0"/>
      <sheetData sheetId="1"/>
      <sheetData sheetId="2">
        <row r="33">
          <cell r="L33">
            <v>37255.531538497045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 H"/>
      <sheetName val="CL_By_LOB"/>
      <sheetName val="EOB Information"/>
      <sheetName val="PT"/>
      <sheetName val="Completion Factors"/>
      <sheetName val="Summary"/>
      <sheetName val="Premium"/>
      <sheetName val="PL"/>
      <sheetName val="Plan Code Table"/>
      <sheetName val="For Data for State Pages - IBNR"/>
    </sheetNames>
    <sheetDataSet>
      <sheetData sheetId="0"/>
      <sheetData sheetId="1"/>
      <sheetData sheetId="2"/>
      <sheetData sheetId="3"/>
      <sheetData sheetId="4"/>
      <sheetData sheetId="5">
        <row r="35">
          <cell r="L35">
            <v>7.4999999999999997E-2</v>
          </cell>
        </row>
        <row r="36">
          <cell r="L36">
            <v>70721.566596096614</v>
          </cell>
        </row>
      </sheetData>
      <sheetData sheetId="6"/>
      <sheetData sheetId="7"/>
      <sheetData sheetId="8"/>
      <sheetData sheetId="9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pletion Factors"/>
      <sheetName val="Premium"/>
      <sheetName val="Summary"/>
    </sheetNames>
    <sheetDataSet>
      <sheetData sheetId="0"/>
      <sheetData sheetId="1"/>
      <sheetData sheetId="2">
        <row r="35">
          <cell r="H35">
            <v>7.4999999999999997E-2</v>
          </cell>
        </row>
        <row r="36">
          <cell r="H36">
            <v>777303.67606529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pletion Factors"/>
      <sheetName val="Plot Patterns"/>
      <sheetName val="Summary"/>
    </sheetNames>
    <sheetDataSet>
      <sheetData sheetId="0" refreshError="1"/>
      <sheetData sheetId="1" refreshError="1"/>
      <sheetData sheetId="2">
        <row r="8">
          <cell r="A8">
            <v>45139</v>
          </cell>
          <cell r="H8">
            <v>0</v>
          </cell>
        </row>
        <row r="9">
          <cell r="A9">
            <v>45170</v>
          </cell>
          <cell r="H9">
            <v>42.72036916250363</v>
          </cell>
        </row>
        <row r="10">
          <cell r="A10">
            <v>45200</v>
          </cell>
          <cell r="H10">
            <v>53.738378350622952</v>
          </cell>
        </row>
        <row r="11">
          <cell r="A11">
            <v>45231</v>
          </cell>
          <cell r="H11">
            <v>56.621434992324794</v>
          </cell>
        </row>
        <row r="12">
          <cell r="A12">
            <v>45261</v>
          </cell>
          <cell r="H12">
            <v>59.115664946642937</v>
          </cell>
        </row>
        <row r="13">
          <cell r="A13">
            <v>45292</v>
          </cell>
          <cell r="H13">
            <v>560.74998737993883</v>
          </cell>
        </row>
        <row r="14">
          <cell r="A14">
            <v>45323</v>
          </cell>
          <cell r="H14">
            <v>622.36962399707409</v>
          </cell>
        </row>
        <row r="15">
          <cell r="A15">
            <v>45352</v>
          </cell>
          <cell r="H15">
            <v>1395.7227538730949</v>
          </cell>
        </row>
        <row r="16">
          <cell r="A16">
            <v>45383</v>
          </cell>
          <cell r="H16">
            <v>1403.1639329973841</v>
          </cell>
        </row>
        <row r="17">
          <cell r="A17">
            <v>45413</v>
          </cell>
          <cell r="H17">
            <v>1590.9441361064673</v>
          </cell>
        </row>
        <row r="18">
          <cell r="A18">
            <v>45444</v>
          </cell>
          <cell r="H18">
            <v>1134.2769853536447</v>
          </cell>
        </row>
        <row r="19">
          <cell r="A19">
            <v>45474</v>
          </cell>
          <cell r="H19">
            <v>1162.5142800624599</v>
          </cell>
        </row>
        <row r="20">
          <cell r="A20">
            <v>45505</v>
          </cell>
          <cell r="H20">
            <v>1891.9571330082545</v>
          </cell>
        </row>
        <row r="21">
          <cell r="A21">
            <v>45536</v>
          </cell>
          <cell r="H21">
            <v>1800.5655793824844</v>
          </cell>
        </row>
        <row r="22">
          <cell r="A22">
            <v>45566</v>
          </cell>
          <cell r="H22">
            <v>2916.4390252784069</v>
          </cell>
        </row>
        <row r="23">
          <cell r="A23">
            <v>45597</v>
          </cell>
          <cell r="H23">
            <v>2828.1413206627476</v>
          </cell>
        </row>
        <row r="24">
          <cell r="A24">
            <v>45627</v>
          </cell>
          <cell r="H24">
            <v>3262.8999006865342</v>
          </cell>
        </row>
        <row r="25">
          <cell r="A25">
            <v>45658</v>
          </cell>
          <cell r="H25">
            <v>3691.8744994768495</v>
          </cell>
        </row>
        <row r="26">
          <cell r="A26">
            <v>45689</v>
          </cell>
          <cell r="H26">
            <v>5195.4452789077332</v>
          </cell>
        </row>
        <row r="27">
          <cell r="A27">
            <v>45717</v>
          </cell>
          <cell r="H27">
            <v>9306.1700021266006</v>
          </cell>
        </row>
        <row r="28">
          <cell r="A28">
            <v>45748</v>
          </cell>
          <cell r="H28">
            <v>6576.7286110845416</v>
          </cell>
        </row>
        <row r="29">
          <cell r="A29">
            <v>45778</v>
          </cell>
          <cell r="H29">
            <v>-1153.52</v>
          </cell>
        </row>
        <row r="30">
          <cell r="A30">
            <v>45809</v>
          </cell>
          <cell r="H30">
            <v>0</v>
          </cell>
        </row>
        <row r="31">
          <cell r="A31">
            <v>45839</v>
          </cell>
          <cell r="H31">
            <v>0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location"/>
    </sheetNames>
    <sheetDataSet>
      <sheetData sheetId="0">
        <row r="5">
          <cell r="U5">
            <v>0</v>
          </cell>
          <cell r="V5">
            <v>0</v>
          </cell>
          <cell r="W5">
            <v>0.22745893325698865</v>
          </cell>
          <cell r="AB5">
            <v>0</v>
          </cell>
          <cell r="AC5">
            <v>5.8928035177394996E-5</v>
          </cell>
          <cell r="AD5">
            <v>2.8584651901395895E-2</v>
          </cell>
          <cell r="AE5">
            <v>0</v>
          </cell>
          <cell r="AF5">
            <v>0</v>
          </cell>
          <cell r="AG5">
            <v>0</v>
          </cell>
          <cell r="AH5">
            <v>0.74389748680643808</v>
          </cell>
          <cell r="AI5">
            <v>0</v>
          </cell>
        </row>
        <row r="6">
          <cell r="U6">
            <v>-3.0275486991909947E-5</v>
          </cell>
          <cell r="V6">
            <v>0</v>
          </cell>
          <cell r="W6">
            <v>0.1828545429976742</v>
          </cell>
          <cell r="AB6">
            <v>0</v>
          </cell>
          <cell r="AC6">
            <v>6.0964505056143169E-5</v>
          </cell>
          <cell r="AD6">
            <v>2.9480831147089794E-2</v>
          </cell>
          <cell r="AE6">
            <v>0</v>
          </cell>
          <cell r="AF6">
            <v>0</v>
          </cell>
          <cell r="AG6">
            <v>0</v>
          </cell>
          <cell r="AH6">
            <v>0.78763393683717176</v>
          </cell>
          <cell r="AI6">
            <v>0</v>
          </cell>
        </row>
        <row r="7">
          <cell r="U7">
            <v>0</v>
          </cell>
          <cell r="V7">
            <v>0</v>
          </cell>
          <cell r="W7">
            <v>0.13674019507634128</v>
          </cell>
          <cell r="AB7">
            <v>0</v>
          </cell>
          <cell r="AC7">
            <v>6.0146859681062323E-5</v>
          </cell>
          <cell r="AD7">
            <v>3.0601033148382344E-2</v>
          </cell>
          <cell r="AE7">
            <v>0</v>
          </cell>
          <cell r="AF7">
            <v>0</v>
          </cell>
          <cell r="AG7">
            <v>0</v>
          </cell>
          <cell r="AH7">
            <v>0.83259862491559533</v>
          </cell>
          <cell r="AI7">
            <v>0</v>
          </cell>
        </row>
        <row r="8">
          <cell r="U8">
            <v>-4.6666518731700187E-4</v>
          </cell>
          <cell r="V8">
            <v>-3.8888765609750161E-4</v>
          </cell>
          <cell r="W8">
            <v>0.10375008402047314</v>
          </cell>
          <cell r="AB8">
            <v>0</v>
          </cell>
          <cell r="AC8">
            <v>6.0873180402649462E-5</v>
          </cell>
          <cell r="AD8">
            <v>2.9833606001700694E-2</v>
          </cell>
          <cell r="AE8">
            <v>0</v>
          </cell>
          <cell r="AF8">
            <v>0</v>
          </cell>
          <cell r="AG8">
            <v>0</v>
          </cell>
          <cell r="AH8">
            <v>0.86721098964083798</v>
          </cell>
          <cell r="AI8">
            <v>0</v>
          </cell>
        </row>
        <row r="9">
          <cell r="U9">
            <v>0</v>
          </cell>
          <cell r="V9">
            <v>0</v>
          </cell>
          <cell r="W9">
            <v>6.8743792688376493E-2</v>
          </cell>
          <cell r="AB9">
            <v>0</v>
          </cell>
          <cell r="AC9">
            <v>0</v>
          </cell>
          <cell r="AD9">
            <v>2.7157424920982495E-2</v>
          </cell>
          <cell r="AE9">
            <v>0</v>
          </cell>
          <cell r="AF9">
            <v>0</v>
          </cell>
          <cell r="AG9">
            <v>0</v>
          </cell>
          <cell r="AH9">
            <v>0.90409878239064101</v>
          </cell>
          <cell r="AI9">
            <v>0</v>
          </cell>
        </row>
        <row r="10">
          <cell r="U10">
            <v>0</v>
          </cell>
          <cell r="V10">
            <v>0</v>
          </cell>
          <cell r="W10">
            <v>3.3731933711271818E-2</v>
          </cell>
          <cell r="AB10">
            <v>0</v>
          </cell>
          <cell r="AC10">
            <v>6.1471064121409959E-5</v>
          </cell>
          <cell r="AD10">
            <v>2.3109960888650711E-2</v>
          </cell>
          <cell r="AE10">
            <v>0</v>
          </cell>
          <cell r="AF10">
            <v>0</v>
          </cell>
          <cell r="AG10">
            <v>0</v>
          </cell>
          <cell r="AH10">
            <v>0.94295986911539076</v>
          </cell>
          <cell r="AI10">
            <v>1.3676522056529114E-4</v>
          </cell>
        </row>
        <row r="11">
          <cell r="U11">
            <v>0</v>
          </cell>
          <cell r="V11">
            <v>0</v>
          </cell>
          <cell r="W11">
            <v>-1.3609529531209555E-3</v>
          </cell>
          <cell r="AB11">
            <v>0</v>
          </cell>
          <cell r="AC11">
            <v>6.2229537646112665E-5</v>
          </cell>
          <cell r="AD11">
            <v>1.9529018429213358E-2</v>
          </cell>
          <cell r="AE11">
            <v>0</v>
          </cell>
          <cell r="AF11">
            <v>0</v>
          </cell>
          <cell r="AG11">
            <v>0</v>
          </cell>
          <cell r="AH11">
            <v>0.96253925569226007</v>
          </cell>
          <cell r="AI11">
            <v>1.923044929400131E-2</v>
          </cell>
        </row>
        <row r="12">
          <cell r="U12">
            <v>0</v>
          </cell>
          <cell r="V12">
            <v>0</v>
          </cell>
          <cell r="W12">
            <v>-7.7550351772633129E-4</v>
          </cell>
          <cell r="AB12">
            <v>0</v>
          </cell>
          <cell r="AC12">
            <v>5.9668268444387181E-5</v>
          </cell>
          <cell r="AD12">
            <v>1.5898509310323182E-2</v>
          </cell>
          <cell r="AE12">
            <v>0</v>
          </cell>
          <cell r="AF12">
            <v>0</v>
          </cell>
          <cell r="AG12">
            <v>0</v>
          </cell>
          <cell r="AH12">
            <v>0.79472848664147222</v>
          </cell>
          <cell r="AI12">
            <v>0.19008883929748643</v>
          </cell>
        </row>
        <row r="13">
          <cell r="U13">
            <v>0</v>
          </cell>
          <cell r="V13">
            <v>0</v>
          </cell>
          <cell r="W13">
            <v>-7.1608985331571309E-5</v>
          </cell>
          <cell r="AB13">
            <v>0</v>
          </cell>
          <cell r="AC13">
            <v>5.6045320726849162E-5</v>
          </cell>
          <cell r="AD13">
            <v>1.2285572412995891E-2</v>
          </cell>
          <cell r="AE13">
            <v>0</v>
          </cell>
          <cell r="AF13">
            <v>0</v>
          </cell>
          <cell r="AG13">
            <v>0</v>
          </cell>
          <cell r="AH13">
            <v>0.6185510654658245</v>
          </cell>
          <cell r="AI13">
            <v>0.36917892578578421</v>
          </cell>
        </row>
        <row r="14">
          <cell r="U14">
            <v>0</v>
          </cell>
          <cell r="V14">
            <v>0</v>
          </cell>
          <cell r="W14">
            <v>-1.6957195401925884E-4</v>
          </cell>
          <cell r="AB14">
            <v>0</v>
          </cell>
          <cell r="AC14">
            <v>5.4317063227791297E-5</v>
          </cell>
          <cell r="AD14">
            <v>1.0159200350282244E-2</v>
          </cell>
          <cell r="AE14">
            <v>0</v>
          </cell>
          <cell r="AF14">
            <v>0</v>
          </cell>
          <cell r="AG14">
            <v>0</v>
          </cell>
          <cell r="AH14">
            <v>0.47108369436447789</v>
          </cell>
          <cell r="AI14">
            <v>0.51887236017603144</v>
          </cell>
        </row>
        <row r="15">
          <cell r="U15">
            <v>0</v>
          </cell>
          <cell r="V15">
            <v>0</v>
          </cell>
          <cell r="W15">
            <v>0</v>
          </cell>
          <cell r="AB15">
            <v>0</v>
          </cell>
          <cell r="AC15">
            <v>5.1879187314968443E-5</v>
          </cell>
          <cell r="AD15">
            <v>7.8257384577390138E-3</v>
          </cell>
          <cell r="AE15">
            <v>0</v>
          </cell>
          <cell r="AF15">
            <v>0</v>
          </cell>
          <cell r="AG15">
            <v>0</v>
          </cell>
          <cell r="AH15">
            <v>0.31427239728298756</v>
          </cell>
          <cell r="AI15">
            <v>0.67784998507195837</v>
          </cell>
        </row>
        <row r="16">
          <cell r="U16">
            <v>0</v>
          </cell>
          <cell r="V16">
            <v>0</v>
          </cell>
          <cell r="W16">
            <v>-4.3847889195047763E-4</v>
          </cell>
          <cell r="AB16">
            <v>0</v>
          </cell>
          <cell r="AC16">
            <v>5.406528308341123E-5</v>
          </cell>
          <cell r="AD16">
            <v>5.590939599079997E-3</v>
          </cell>
          <cell r="AE16">
            <v>0</v>
          </cell>
          <cell r="AF16">
            <v>0</v>
          </cell>
          <cell r="AG16">
            <v>0</v>
          </cell>
          <cell r="AH16">
            <v>0.24671313353744417</v>
          </cell>
          <cell r="AI16">
            <v>0.74808034047234295</v>
          </cell>
        </row>
        <row r="17">
          <cell r="U17">
            <v>0</v>
          </cell>
          <cell r="V17">
            <v>0</v>
          </cell>
          <cell r="W17">
            <v>0</v>
          </cell>
          <cell r="AB17">
            <v>0</v>
          </cell>
          <cell r="AC17">
            <v>5.2748455149190415E-5</v>
          </cell>
          <cell r="AD17">
            <v>3.2009804215382726E-3</v>
          </cell>
          <cell r="AE17">
            <v>0</v>
          </cell>
          <cell r="AF17">
            <v>0</v>
          </cell>
          <cell r="AG17">
            <v>0</v>
          </cell>
          <cell r="AH17">
            <v>0.1966215428093403</v>
          </cell>
          <cell r="AI17">
            <v>0.8001247283139723</v>
          </cell>
        </row>
        <row r="18">
          <cell r="U18">
            <v>0</v>
          </cell>
          <cell r="V18">
            <v>0</v>
          </cell>
          <cell r="W18">
            <v>-9.3331188286351156E-5</v>
          </cell>
          <cell r="AB18">
            <v>0</v>
          </cell>
          <cell r="AC18">
            <v>5.410584258974003E-5</v>
          </cell>
          <cell r="AD18">
            <v>1.574352456357426E-3</v>
          </cell>
          <cell r="AE18">
            <v>0</v>
          </cell>
          <cell r="AF18">
            <v>0</v>
          </cell>
          <cell r="AG18">
            <v>0</v>
          </cell>
          <cell r="AH18">
            <v>0.14878105893108692</v>
          </cell>
          <cell r="AI18">
            <v>0.84968381395825232</v>
          </cell>
        </row>
        <row r="19">
          <cell r="U19">
            <v>0</v>
          </cell>
          <cell r="V19">
            <v>0</v>
          </cell>
          <cell r="W19">
            <v>0</v>
          </cell>
          <cell r="AB19">
            <v>0</v>
          </cell>
          <cell r="AC19">
            <v>6.1423317113352258E-5</v>
          </cell>
          <cell r="AD19">
            <v>4.2437009965344221E-4</v>
          </cell>
          <cell r="AE19">
            <v>0</v>
          </cell>
          <cell r="AF19">
            <v>0</v>
          </cell>
          <cell r="AG19">
            <v>0</v>
          </cell>
          <cell r="AH19">
            <v>0.12609982394776884</v>
          </cell>
          <cell r="AI19">
            <v>0.87341438263546434</v>
          </cell>
        </row>
        <row r="20">
          <cell r="U20">
            <v>0</v>
          </cell>
          <cell r="V20">
            <v>0</v>
          </cell>
          <cell r="W20">
            <v>0</v>
          </cell>
          <cell r="AB20">
            <v>0</v>
          </cell>
          <cell r="AC20">
            <v>6.6843867997460431E-5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0.10274334076655466</v>
          </cell>
          <cell r="AI20">
            <v>0.89718981536544784</v>
          </cell>
        </row>
        <row r="21">
          <cell r="U21">
            <v>0</v>
          </cell>
          <cell r="V21">
            <v>0</v>
          </cell>
          <cell r="W21">
            <v>0</v>
          </cell>
          <cell r="AB21">
            <v>0</v>
          </cell>
          <cell r="AC21">
            <v>7.3160893563363531E-5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7.1468824206331161E-2</v>
          </cell>
          <cell r="AI21">
            <v>0.92845801490010549</v>
          </cell>
        </row>
        <row r="22">
          <cell r="U22">
            <v>0</v>
          </cell>
          <cell r="V22">
            <v>0</v>
          </cell>
          <cell r="W22">
            <v>0</v>
          </cell>
          <cell r="AB22">
            <v>0</v>
          </cell>
          <cell r="AC22">
            <v>8.0234016155321185E-5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3.5718040020694279E-2</v>
          </cell>
          <cell r="AI22">
            <v>0.96420172596315046</v>
          </cell>
        </row>
        <row r="23">
          <cell r="U23">
            <v>0</v>
          </cell>
          <cell r="V23">
            <v>0</v>
          </cell>
          <cell r="W23">
            <v>0</v>
          </cell>
          <cell r="AB23">
            <v>5.4619733207480143E-3</v>
          </cell>
          <cell r="AC23">
            <v>8.8663664349146118E-5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-8.6460285722257777E-4</v>
          </cell>
          <cell r="AI23">
            <v>0.99531396587212539</v>
          </cell>
        </row>
        <row r="24">
          <cell r="U24">
            <v>0</v>
          </cell>
          <cell r="V24">
            <v>0</v>
          </cell>
          <cell r="W24">
            <v>0</v>
          </cell>
          <cell r="AB24">
            <v>6.8708907182364609E-2</v>
          </cell>
          <cell r="AC24">
            <v>9.6129038721270779E-5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-1.661362708259907E-4</v>
          </cell>
          <cell r="AI24">
            <v>0.93136110004974015</v>
          </cell>
        </row>
        <row r="25">
          <cell r="U25">
            <v>0</v>
          </cell>
          <cell r="V25">
            <v>0</v>
          </cell>
          <cell r="W25">
            <v>0</v>
          </cell>
          <cell r="AB25">
            <v>0.16769798082274415</v>
          </cell>
          <cell r="AC25">
            <v>1.0603754919303136E-4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-6.3190968678404223E-4</v>
          </cell>
          <cell r="AI25">
            <v>0.8328278913148468</v>
          </cell>
        </row>
        <row r="26">
          <cell r="U26">
            <v>0</v>
          </cell>
          <cell r="V26">
            <v>0</v>
          </cell>
          <cell r="W26">
            <v>0</v>
          </cell>
          <cell r="AB26">
            <v>0.3382459735055553</v>
          </cell>
          <cell r="AC26">
            <v>1.1616977205699821E-4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0.66163785672238762</v>
          </cell>
        </row>
        <row r="27">
          <cell r="U27">
            <v>0</v>
          </cell>
          <cell r="V27">
            <v>0</v>
          </cell>
          <cell r="W27">
            <v>0</v>
          </cell>
          <cell r="AB27">
            <v>0.51371390561926755</v>
          </cell>
          <cell r="AC27">
            <v>1.3678970120040062E-4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-1.3826866076528061E-3</v>
          </cell>
          <cell r="AI27">
            <v>0.48753199128718488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pletion Factors"/>
      <sheetName val="Plot Patterns"/>
      <sheetName val="Summary"/>
    </sheetNames>
    <sheetDataSet>
      <sheetData sheetId="0"/>
      <sheetData sheetId="1"/>
      <sheetData sheetId="2">
        <row r="33">
          <cell r="H33">
            <v>89779.634220168809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pletion Factors"/>
      <sheetName val="Plot Patterns"/>
      <sheetName val="Summary"/>
    </sheetNames>
    <sheetDataSet>
      <sheetData sheetId="0"/>
      <sheetData sheetId="1"/>
      <sheetData sheetId="2">
        <row r="33">
          <cell r="H33">
            <v>6635.8738999132283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pletion Factors"/>
      <sheetName val="Plot Patterns"/>
      <sheetName val="Summary"/>
    </sheetNames>
    <sheetDataSet>
      <sheetData sheetId="0"/>
      <sheetData sheetId="1"/>
      <sheetData sheetId="2">
        <row r="33">
          <cell r="H33">
            <v>91228.517263440619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ulia Oranias" id="{FC6D6499-D49C-4EF0-B72D-3446266526EE}" userId="S::joranias@actrisk.com::f83fb233-9eca-431f-9d3a-a35e583d3cea" providerId="AD"/>
</personList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1" dT="2024-10-08T17:48:23.40" personId="{FC6D6499-D49C-4EF0-B72D-3446266526EE}" id="{4EA062A0-BE3E-4ACB-98F3-2F60190870C5}">
    <text>Unified has not booked the 507k reserve for LL according to Kevin’s email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38D66-6A3A-466E-8973-92ABD33CCFF7}">
  <dimension ref="A1:P20"/>
  <sheetViews>
    <sheetView tabSelected="1" zoomScaleNormal="100" workbookViewId="0">
      <selection activeCell="E12" sqref="E12"/>
    </sheetView>
  </sheetViews>
  <sheetFormatPr defaultRowHeight="13.2" x14ac:dyDescent="0.3"/>
  <cols>
    <col min="1" max="1" width="15.85546875" bestFit="1" customWidth="1"/>
    <col min="2" max="2" width="14.85546875" bestFit="1" customWidth="1"/>
    <col min="3" max="3" width="15.42578125" bestFit="1" customWidth="1"/>
    <col min="4" max="4" width="12.42578125" bestFit="1" customWidth="1"/>
    <col min="5" max="5" width="21" bestFit="1" customWidth="1"/>
    <col min="7" max="7" width="23.140625" bestFit="1" customWidth="1"/>
    <col min="8" max="9" width="18.140625" customWidth="1"/>
    <col min="10" max="10" width="23.140625" hidden="1" customWidth="1"/>
    <col min="11" max="12" width="18.140625" hidden="1" customWidth="1"/>
    <col min="13" max="13" width="70.5703125" customWidth="1"/>
    <col min="14" max="14" width="3.85546875" customWidth="1"/>
    <col min="15" max="15" width="40.140625" bestFit="1" customWidth="1"/>
    <col min="16" max="16" width="13.570312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32</v>
      </c>
      <c r="H1" s="2" t="s">
        <v>22</v>
      </c>
      <c r="I1" s="2" t="s">
        <v>23</v>
      </c>
      <c r="J1" s="2" t="s">
        <v>27</v>
      </c>
      <c r="K1" s="2" t="s">
        <v>22</v>
      </c>
      <c r="L1" s="2" t="s">
        <v>23</v>
      </c>
      <c r="M1" s="2" t="s">
        <v>24</v>
      </c>
      <c r="O1" s="2" t="s">
        <v>21</v>
      </c>
      <c r="P1" s="2" t="s">
        <v>26</v>
      </c>
    </row>
    <row r="2" spans="1:16" x14ac:dyDescent="0.3">
      <c r="A2" t="s">
        <v>5</v>
      </c>
      <c r="B2" s="6">
        <f>+[1]Summary!$H$33</f>
        <v>21969.96455584604</v>
      </c>
      <c r="C2" s="3">
        <f>+[2]Summary!$H$35</f>
        <v>7.4999999999999997E-2</v>
      </c>
      <c r="D2" s="5">
        <f>+B2*C2</f>
        <v>1647.7473416884529</v>
      </c>
      <c r="E2" s="5">
        <f>+B2+D2</f>
        <v>23617.711897534493</v>
      </c>
      <c r="G2" s="6">
        <f>[3]Summary!E2</f>
        <v>25253.89523097669</v>
      </c>
      <c r="H2" s="6">
        <f>+E2-G2</f>
        <v>-1636.1833334421972</v>
      </c>
      <c r="I2" s="7">
        <f>+H2/G2</f>
        <v>-6.4789345108046445E-2</v>
      </c>
      <c r="J2" s="26">
        <f>+[2]Summary!$H$36</f>
        <v>10194.181693825194</v>
      </c>
      <c r="K2" s="26">
        <f>+E2-J2</f>
        <v>13423.530203709299</v>
      </c>
      <c r="L2" s="27">
        <f>+K2/J2</f>
        <v>1.31678349541682</v>
      </c>
      <c r="M2" s="8"/>
      <c r="O2" t="s">
        <v>28</v>
      </c>
      <c r="P2" s="6" t="s">
        <v>25</v>
      </c>
    </row>
    <row r="3" spans="1:16" x14ac:dyDescent="0.3">
      <c r="A3" t="s">
        <v>6</v>
      </c>
      <c r="B3" s="6">
        <f>+[4]Summary!$H$33</f>
        <v>2882.8717706335037</v>
      </c>
      <c r="C3" s="38">
        <f>+[5]Summary!$H$35</f>
        <v>7.4999999999999997E-2</v>
      </c>
      <c r="D3" s="28">
        <f t="shared" ref="D3:D16" si="0">+B3*C3</f>
        <v>216.21538279751277</v>
      </c>
      <c r="E3" s="28">
        <f t="shared" ref="E3:E16" si="1">+B3+D3</f>
        <v>3099.0871534310163</v>
      </c>
      <c r="G3" s="6">
        <f>[3]Summary!E3</f>
        <v>2927.3758692989568</v>
      </c>
      <c r="H3" s="6">
        <f t="shared" ref="H3:H16" si="2">+E3-G3</f>
        <v>171.71128413205952</v>
      </c>
      <c r="I3" s="29">
        <f t="shared" ref="I3:I16" si="3">+H3/G3</f>
        <v>5.8657067557635043E-2</v>
      </c>
      <c r="J3" s="6">
        <f>+[5]Summary!$H$36</f>
        <v>2852.8990141421973</v>
      </c>
      <c r="K3" s="6">
        <f t="shared" ref="K3:K16" si="4">+E3-J3</f>
        <v>246.188139288819</v>
      </c>
      <c r="L3" s="29">
        <f t="shared" ref="L3:L16" si="5">+K3/J3</f>
        <v>8.6294025154213971E-2</v>
      </c>
      <c r="M3" s="25"/>
      <c r="O3" t="s">
        <v>29</v>
      </c>
      <c r="P3" s="6" t="s">
        <v>25</v>
      </c>
    </row>
    <row r="4" spans="1:16" x14ac:dyDescent="0.3">
      <c r="A4" t="s">
        <v>15</v>
      </c>
      <c r="B4" s="6">
        <f>+'[6]Summary BF'!$H$33</f>
        <v>23732.13638883808</v>
      </c>
      <c r="C4" s="38">
        <f>+[7]Summary!$H$35</f>
        <v>7.4999999999999997E-2</v>
      </c>
      <c r="D4" s="28">
        <f t="shared" si="0"/>
        <v>1779.910229162856</v>
      </c>
      <c r="E4" s="28">
        <f t="shared" si="1"/>
        <v>25512.046618000935</v>
      </c>
      <c r="G4" s="40">
        <v>71290.497195070071</v>
      </c>
      <c r="H4" s="6">
        <f t="shared" si="2"/>
        <v>-45778.450577069132</v>
      </c>
      <c r="I4" s="29">
        <f t="shared" si="3"/>
        <v>-0.64213958912093039</v>
      </c>
      <c r="J4" s="6">
        <f>+[7]Summary!$H$36</f>
        <v>46527.596958871203</v>
      </c>
      <c r="K4" s="6">
        <f t="shared" si="4"/>
        <v>-21015.550340870268</v>
      </c>
      <c r="L4" s="29">
        <f t="shared" si="5"/>
        <v>-0.45167925520519125</v>
      </c>
      <c r="M4" s="24"/>
      <c r="O4" t="s">
        <v>29</v>
      </c>
      <c r="P4" s="6" t="s">
        <v>25</v>
      </c>
    </row>
    <row r="5" spans="1:16" ht="26.4" x14ac:dyDescent="0.3">
      <c r="A5" t="s">
        <v>7</v>
      </c>
      <c r="B5" s="6">
        <f>+'[8]Summary BF'!$H$33</f>
        <v>243474.73745570186</v>
      </c>
      <c r="C5" s="38">
        <f>+[9]Summary!$H$35</f>
        <v>7.4999999999999997E-2</v>
      </c>
      <c r="D5" s="28">
        <f t="shared" si="0"/>
        <v>18260.605309177638</v>
      </c>
      <c r="E5" s="28">
        <f>+B5+D5</f>
        <v>261735.34276487949</v>
      </c>
      <c r="G5" s="6">
        <f>[3]Summary!E5</f>
        <v>261057.25440506521</v>
      </c>
      <c r="H5" s="6">
        <f t="shared" si="2"/>
        <v>678.08835981428274</v>
      </c>
      <c r="I5" s="29">
        <f>+H5/G5</f>
        <v>2.5974698973970593E-3</v>
      </c>
      <c r="J5" s="6">
        <f>+[9]Summary!$H$36</f>
        <v>88593.393911147272</v>
      </c>
      <c r="K5" s="6">
        <f t="shared" si="4"/>
        <v>173141.9488537322</v>
      </c>
      <c r="L5" s="29">
        <f t="shared" si="5"/>
        <v>1.9543437858062078</v>
      </c>
      <c r="M5" s="39" t="s">
        <v>51</v>
      </c>
      <c r="O5" t="s">
        <v>50</v>
      </c>
      <c r="P5" s="6" t="s">
        <v>25</v>
      </c>
    </row>
    <row r="6" spans="1:16" x14ac:dyDescent="0.3">
      <c r="A6" t="s">
        <v>8</v>
      </c>
      <c r="B6" s="6">
        <f>+'[10]Summary BF'!$H$33</f>
        <v>46271.444131693956</v>
      </c>
      <c r="C6" s="38">
        <f>+[11]Summary!$H$35</f>
        <v>7.4999999999999997E-2</v>
      </c>
      <c r="D6" s="28">
        <f t="shared" si="0"/>
        <v>3470.3583098770464</v>
      </c>
      <c r="E6" s="28">
        <f t="shared" si="1"/>
        <v>49741.802441571002</v>
      </c>
      <c r="G6" s="6">
        <f>[3]Summary!E6</f>
        <v>49070.915544414376</v>
      </c>
      <c r="H6" s="6">
        <f t="shared" si="2"/>
        <v>670.88689715662622</v>
      </c>
      <c r="I6" s="29">
        <f t="shared" si="3"/>
        <v>1.3671782759981368E-2</v>
      </c>
      <c r="J6" s="6">
        <f>+[11]Summary!$H$36</f>
        <v>32709.246771985087</v>
      </c>
      <c r="K6" s="6">
        <f t="shared" si="4"/>
        <v>17032.555669585916</v>
      </c>
      <c r="L6" s="29">
        <f t="shared" si="5"/>
        <v>0.52072601329890633</v>
      </c>
      <c r="M6" s="25" t="s">
        <v>52</v>
      </c>
      <c r="O6" t="s">
        <v>29</v>
      </c>
      <c r="P6" s="6" t="s">
        <v>25</v>
      </c>
    </row>
    <row r="7" spans="1:16" x14ac:dyDescent="0.3">
      <c r="A7" t="s">
        <v>9</v>
      </c>
      <c r="B7" s="6">
        <f>+[12]Summary!$H$33</f>
        <v>48262.187586012289</v>
      </c>
      <c r="C7" s="38">
        <f>+[13]Summary!$H$35</f>
        <v>7.4999999999999997E-2</v>
      </c>
      <c r="D7" s="28">
        <f t="shared" si="0"/>
        <v>3619.6640689509218</v>
      </c>
      <c r="E7" s="28">
        <f t="shared" si="1"/>
        <v>51881.851654963211</v>
      </c>
      <c r="G7" s="6">
        <f>[3]Summary!E7</f>
        <v>56693.283197357028</v>
      </c>
      <c r="H7" s="6">
        <f t="shared" si="2"/>
        <v>-4811.4315423938169</v>
      </c>
      <c r="I7" s="29">
        <f t="shared" si="3"/>
        <v>-8.4867752774955188E-2</v>
      </c>
      <c r="J7" s="6">
        <f>+[13]Summary!$H$36</f>
        <v>43941.36</v>
      </c>
      <c r="K7" s="6">
        <f t="shared" si="4"/>
        <v>7940.4916549632107</v>
      </c>
      <c r="L7" s="29">
        <f t="shared" si="5"/>
        <v>0.18070655198116786</v>
      </c>
      <c r="M7" s="24"/>
      <c r="O7" t="s">
        <v>29</v>
      </c>
      <c r="P7" s="6" t="s">
        <v>25</v>
      </c>
    </row>
    <row r="8" spans="1:16" x14ac:dyDescent="0.3">
      <c r="A8" t="s">
        <v>10</v>
      </c>
      <c r="B8" s="6">
        <f>+[14]Summary!$H$33</f>
        <v>76774.229424188496</v>
      </c>
      <c r="C8" s="38">
        <f>+[15]Summary!$H$35</f>
        <v>7.4999999999999997E-2</v>
      </c>
      <c r="D8" s="28">
        <f t="shared" si="0"/>
        <v>5758.0672068141366</v>
      </c>
      <c r="E8" s="28">
        <f t="shared" si="1"/>
        <v>82532.296631002639</v>
      </c>
      <c r="G8" s="6">
        <f>[3]Summary!E8</f>
        <v>83112.205943377252</v>
      </c>
      <c r="H8" s="6">
        <f t="shared" si="2"/>
        <v>-579.90931237461336</v>
      </c>
      <c r="I8" s="29">
        <f t="shared" si="3"/>
        <v>-6.9774265499545811E-3</v>
      </c>
      <c r="J8" s="6">
        <f>+[15]Summary!$H$36</f>
        <v>158653.1571364796</v>
      </c>
      <c r="K8" s="6">
        <f t="shared" si="4"/>
        <v>-76120.860505476958</v>
      </c>
      <c r="L8" s="29">
        <f t="shared" si="5"/>
        <v>-0.47979417415560688</v>
      </c>
      <c r="M8" s="25"/>
      <c r="O8" t="s">
        <v>29</v>
      </c>
      <c r="P8" s="6" t="s">
        <v>25</v>
      </c>
    </row>
    <row r="9" spans="1:16" s="30" customFormat="1" x14ac:dyDescent="0.3">
      <c r="A9" s="30" t="s">
        <v>11</v>
      </c>
      <c r="B9" s="31">
        <f>[3]Summary!B9</f>
        <v>92251.644638878846</v>
      </c>
      <c r="C9" s="32">
        <f>+[16]Summary!$H$35</f>
        <v>7.4999999999999997E-2</v>
      </c>
      <c r="D9" s="33">
        <f t="shared" si="0"/>
        <v>6918.8733479159137</v>
      </c>
      <c r="E9" s="33">
        <f t="shared" si="1"/>
        <v>99170.517986794759</v>
      </c>
      <c r="G9" s="31">
        <f>[3]Summary!E9</f>
        <v>99170.517986794759</v>
      </c>
      <c r="H9" s="31">
        <f t="shared" si="2"/>
        <v>0</v>
      </c>
      <c r="I9" s="34">
        <f t="shared" si="3"/>
        <v>0</v>
      </c>
      <c r="J9" s="31">
        <f>+[16]Summary!$H$36</f>
        <v>167515.8389747378</v>
      </c>
      <c r="K9" s="31">
        <f t="shared" si="4"/>
        <v>-68345.320987943036</v>
      </c>
      <c r="L9" s="34">
        <f t="shared" si="5"/>
        <v>-0.40799318683082764</v>
      </c>
      <c r="M9" s="35"/>
      <c r="O9" s="30" t="s">
        <v>29</v>
      </c>
      <c r="P9" s="31" t="s">
        <v>25</v>
      </c>
    </row>
    <row r="10" spans="1:16" x14ac:dyDescent="0.3">
      <c r="A10" t="s">
        <v>12</v>
      </c>
      <c r="B10" s="6">
        <f>+[17]Summary!$H$33</f>
        <v>34154.231005837806</v>
      </c>
      <c r="C10" s="38">
        <f>+[18]Summary!$H$35</f>
        <v>7.4999999999999997E-2</v>
      </c>
      <c r="D10" s="28">
        <f t="shared" si="0"/>
        <v>2561.5673254378353</v>
      </c>
      <c r="E10" s="28">
        <f t="shared" si="1"/>
        <v>36715.798331275641</v>
      </c>
      <c r="G10" s="6">
        <f>[3]Summary!E10</f>
        <v>70989.253411493424</v>
      </c>
      <c r="H10" s="6">
        <f t="shared" si="2"/>
        <v>-34273.455080217784</v>
      </c>
      <c r="I10" s="29">
        <f t="shared" si="3"/>
        <v>-0.48279779590791955</v>
      </c>
      <c r="J10" s="6">
        <f>+[18]Summary!$H$36</f>
        <v>61403.00276625227</v>
      </c>
      <c r="K10" s="6">
        <f t="shared" si="4"/>
        <v>-24687.204434976629</v>
      </c>
      <c r="L10" s="29">
        <f t="shared" si="5"/>
        <v>-0.40205207111703295</v>
      </c>
      <c r="M10" s="24" t="s">
        <v>54</v>
      </c>
      <c r="O10" t="s">
        <v>29</v>
      </c>
      <c r="P10" s="6" t="s">
        <v>25</v>
      </c>
    </row>
    <row r="11" spans="1:16" s="42" customFormat="1" x14ac:dyDescent="0.3">
      <c r="A11" s="42" t="s">
        <v>19</v>
      </c>
      <c r="B11" s="43">
        <f>+[29]Summary!$H$33</f>
        <v>89779.634220168809</v>
      </c>
      <c r="C11" s="44">
        <v>0.05</v>
      </c>
      <c r="D11" s="28">
        <f t="shared" si="0"/>
        <v>4488.9817110084405</v>
      </c>
      <c r="E11" s="28">
        <f t="shared" si="1"/>
        <v>94268.61593117725</v>
      </c>
      <c r="G11" s="43">
        <f>[3]Summary!E11</f>
        <v>115681.40306044983</v>
      </c>
      <c r="H11" s="43">
        <f t="shared" si="2"/>
        <v>-21412.787129272576</v>
      </c>
      <c r="I11" s="29">
        <f t="shared" si="3"/>
        <v>-0.18510137811937871</v>
      </c>
      <c r="J11" s="43">
        <f>+[19]Summary!$E$36-[19]Summary!$E$35</f>
        <v>121236.15000000002</v>
      </c>
      <c r="K11" s="43">
        <f t="shared" ref="K11" si="6">+E11-J11</f>
        <v>-26967.534068822773</v>
      </c>
      <c r="L11" s="29">
        <f t="shared" ref="L11" si="7">+K11/J11</f>
        <v>-0.22243806050276893</v>
      </c>
      <c r="M11" s="24"/>
      <c r="O11" s="42" t="s">
        <v>30</v>
      </c>
      <c r="P11" s="43" t="s">
        <v>25</v>
      </c>
    </row>
    <row r="12" spans="1:16" s="42" customFormat="1" x14ac:dyDescent="0.3">
      <c r="A12" s="42" t="s">
        <v>20</v>
      </c>
      <c r="B12" s="43">
        <f>+[30]Summary!$H$33</f>
        <v>6635.8738999132283</v>
      </c>
      <c r="C12" s="44">
        <v>0.05</v>
      </c>
      <c r="D12" s="28">
        <f t="shared" si="0"/>
        <v>331.79369499566144</v>
      </c>
      <c r="E12" s="28">
        <f t="shared" si="1"/>
        <v>6967.6675949088894</v>
      </c>
      <c r="G12" s="43">
        <f>[3]Summary!E12</f>
        <v>7638.2181637064386</v>
      </c>
      <c r="H12" s="43">
        <f t="shared" si="2"/>
        <v>-670.5505687975492</v>
      </c>
      <c r="I12" s="29">
        <f t="shared" si="3"/>
        <v>-8.7788873586214136E-2</v>
      </c>
      <c r="J12" s="43">
        <f>+[20]Summary!$E$36</f>
        <v>21308.7</v>
      </c>
      <c r="K12" s="43">
        <f t="shared" ref="K12" si="8">+E12-J12</f>
        <v>-14341.032405091111</v>
      </c>
      <c r="L12" s="29">
        <f t="shared" ref="L12" si="9">+K12/J12</f>
        <v>-0.67301301370290589</v>
      </c>
      <c r="M12" s="24"/>
      <c r="O12" s="42" t="s">
        <v>30</v>
      </c>
      <c r="P12" s="43" t="s">
        <v>25</v>
      </c>
    </row>
    <row r="13" spans="1:16" x14ac:dyDescent="0.3">
      <c r="A13" t="s">
        <v>17</v>
      </c>
      <c r="B13" s="6">
        <f>+[21]Summary!$H$33</f>
        <v>181112.74629495569</v>
      </c>
      <c r="C13" s="38">
        <f>+[22]Summary!$H$35</f>
        <v>7.4999999999999997E-2</v>
      </c>
      <c r="D13" s="28">
        <f t="shared" si="0"/>
        <v>13583.455972121677</v>
      </c>
      <c r="E13" s="28">
        <f t="shared" si="1"/>
        <v>194696.20226707737</v>
      </c>
      <c r="G13" s="6">
        <f>[3]Summary!E13</f>
        <v>22734.495230430937</v>
      </c>
      <c r="H13" s="6">
        <f t="shared" si="2"/>
        <v>171961.70703664643</v>
      </c>
      <c r="I13" s="29">
        <f t="shared" si="3"/>
        <v>7.5639113731660741</v>
      </c>
      <c r="J13" s="6">
        <f>+[22]Summary!$H$36</f>
        <v>22925.112714356808</v>
      </c>
      <c r="K13" s="6">
        <f t="shared" si="4"/>
        <v>171771.08955272057</v>
      </c>
      <c r="L13" s="29">
        <f t="shared" si="5"/>
        <v>7.4927042537570276</v>
      </c>
      <c r="M13" s="25" t="s">
        <v>53</v>
      </c>
      <c r="O13" t="s">
        <v>29</v>
      </c>
      <c r="P13" s="6" t="s">
        <v>25</v>
      </c>
    </row>
    <row r="14" spans="1:16" s="42" customFormat="1" x14ac:dyDescent="0.3">
      <c r="A14" s="42" t="s">
        <v>18</v>
      </c>
      <c r="B14" s="43">
        <f>+[31]Summary!$H$33</f>
        <v>91228.517263440619</v>
      </c>
      <c r="C14" s="44">
        <f>+[23]Summary!$H$35</f>
        <v>7.4999999999999997E-2</v>
      </c>
      <c r="D14" s="28">
        <f t="shared" si="0"/>
        <v>6842.1387947580461</v>
      </c>
      <c r="E14" s="28">
        <f t="shared" si="1"/>
        <v>98070.656058198671</v>
      </c>
      <c r="G14" s="43">
        <f>[3]Summary!E14</f>
        <v>94502.94588500075</v>
      </c>
      <c r="H14" s="43">
        <f t="shared" si="2"/>
        <v>3567.7101731979201</v>
      </c>
      <c r="I14" s="29">
        <f t="shared" si="3"/>
        <v>3.7752369937117246E-2</v>
      </c>
      <c r="J14" s="43">
        <f>+[23]Summary!$H$36</f>
        <v>60621.568508703676</v>
      </c>
      <c r="K14" s="43">
        <f t="shared" si="4"/>
        <v>37449.087549494994</v>
      </c>
      <c r="L14" s="29">
        <f t="shared" si="5"/>
        <v>0.61775187397400122</v>
      </c>
      <c r="M14" s="24"/>
      <c r="O14" s="42" t="s">
        <v>29</v>
      </c>
      <c r="P14" s="43" t="s">
        <v>25</v>
      </c>
    </row>
    <row r="15" spans="1:16" x14ac:dyDescent="0.3">
      <c r="A15" t="s">
        <v>13</v>
      </c>
      <c r="B15" s="6">
        <f>+[24]Summary!$L$33</f>
        <v>37255.531538497045</v>
      </c>
      <c r="C15" s="38">
        <f>+[25]Summary!$L$35</f>
        <v>7.4999999999999997E-2</v>
      </c>
      <c r="D15" s="28">
        <f t="shared" si="0"/>
        <v>2794.1648653872785</v>
      </c>
      <c r="E15" s="28">
        <f t="shared" si="1"/>
        <v>40049.696403884322</v>
      </c>
      <c r="G15" s="6">
        <f>[3]Summary!E15</f>
        <v>40111.110429165485</v>
      </c>
      <c r="H15" s="6">
        <f t="shared" si="2"/>
        <v>-61.414025281163049</v>
      </c>
      <c r="I15" s="29">
        <f t="shared" si="3"/>
        <v>-1.5310976092177155E-3</v>
      </c>
      <c r="J15" s="6">
        <f>+[25]Summary!$L$36</f>
        <v>70721.566596096614</v>
      </c>
      <c r="K15" s="6">
        <f t="shared" si="4"/>
        <v>-30671.870192212293</v>
      </c>
      <c r="L15" s="29">
        <f t="shared" si="5"/>
        <v>-0.43369896438217742</v>
      </c>
      <c r="M15" s="24"/>
      <c r="O15" t="s">
        <v>31</v>
      </c>
      <c r="P15" s="6" t="s">
        <v>25</v>
      </c>
    </row>
    <row r="16" spans="1:16" s="30" customFormat="1" x14ac:dyDescent="0.3">
      <c r="A16" s="30" t="s">
        <v>16</v>
      </c>
      <c r="B16" s="31">
        <f>[3]Summary!B16</f>
        <v>58620.779807323081</v>
      </c>
      <c r="C16" s="32">
        <f>+[26]Summary!$H$35</f>
        <v>7.4999999999999997E-2</v>
      </c>
      <c r="D16" s="33">
        <f t="shared" si="0"/>
        <v>4396.5584855492307</v>
      </c>
      <c r="E16" s="33">
        <f t="shared" si="1"/>
        <v>63017.338292872315</v>
      </c>
      <c r="G16" s="31">
        <f>[3]Summary!E16</f>
        <v>63017.338292872315</v>
      </c>
      <c r="H16" s="31">
        <f t="shared" si="2"/>
        <v>0</v>
      </c>
      <c r="I16" s="34">
        <f t="shared" si="3"/>
        <v>0</v>
      </c>
      <c r="J16" s="31">
        <f>+[26]Summary!$H$36</f>
        <v>777303.67606529</v>
      </c>
      <c r="K16" s="31">
        <f t="shared" si="4"/>
        <v>-714286.3377724177</v>
      </c>
      <c r="L16" s="34">
        <f t="shared" si="5"/>
        <v>-0.91892828989068209</v>
      </c>
      <c r="M16" s="35"/>
      <c r="O16" s="30" t="s">
        <v>29</v>
      </c>
      <c r="P16" s="31" t="s">
        <v>25</v>
      </c>
    </row>
    <row r="17" spans="1:13" x14ac:dyDescent="0.3">
      <c r="B17" s="6"/>
      <c r="M17" s="36"/>
    </row>
    <row r="18" spans="1:13" x14ac:dyDescent="0.3">
      <c r="A18" s="4" t="s">
        <v>14</v>
      </c>
      <c r="B18" s="37">
        <f>+SUM(B2:B17)</f>
        <v>1054406.5299819296</v>
      </c>
      <c r="C18" s="4"/>
      <c r="D18" s="37">
        <f>+SUM(D2:D17)</f>
        <v>76670.102045642663</v>
      </c>
      <c r="E18" s="37">
        <f>+SUM(E2:E17)</f>
        <v>1131076.6320275718</v>
      </c>
      <c r="F18" s="4"/>
      <c r="G18" s="37">
        <f>+SUM(G2:G17)</f>
        <v>1063250.7098454735</v>
      </c>
      <c r="H18" s="37">
        <f>+SUM(H2:H17)</f>
        <v>67825.922182098497</v>
      </c>
      <c r="I18" s="29">
        <f>+H18/G18</f>
        <v>6.3791090430549452E-2</v>
      </c>
      <c r="J18" s="37">
        <f>+SUM(J2:J17)</f>
        <v>1686507.4511118878</v>
      </c>
      <c r="K18" s="37">
        <f>+SUM(K2:K17)</f>
        <v>-555430.81908431579</v>
      </c>
      <c r="L18" s="29">
        <f>+K18/J18</f>
        <v>-0.32933789810304664</v>
      </c>
      <c r="M18" s="24"/>
    </row>
    <row r="20" spans="1:13" x14ac:dyDescent="0.3">
      <c r="A20" s="41" t="s">
        <v>17</v>
      </c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</row>
  </sheetData>
  <mergeCells count="1">
    <mergeCell ref="A20:M20"/>
  </mergeCells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7008F-CC6D-4C08-B206-EDDC0B61AD88}">
  <dimension ref="A1:N29"/>
  <sheetViews>
    <sheetView workbookViewId="0">
      <selection activeCell="B5" sqref="B5"/>
    </sheetView>
  </sheetViews>
  <sheetFormatPr defaultRowHeight="13.2" x14ac:dyDescent="0.3"/>
  <cols>
    <col min="2" max="2" width="11.85546875" bestFit="1" customWidth="1"/>
    <col min="3" max="4" width="18.42578125" bestFit="1" customWidth="1"/>
    <col min="5" max="5" width="8.85546875" bestFit="1" customWidth="1"/>
    <col min="6" max="6" width="17.140625" bestFit="1" customWidth="1"/>
    <col min="7" max="8" width="10.85546875" bestFit="1" customWidth="1"/>
    <col min="9" max="9" width="17" bestFit="1" customWidth="1"/>
    <col min="10" max="13" width="13" bestFit="1" customWidth="1"/>
    <col min="14" max="14" width="19" bestFit="1" customWidth="1"/>
  </cols>
  <sheetData>
    <row r="1" spans="1:14" x14ac:dyDescent="0.3">
      <c r="C1" s="10"/>
    </row>
    <row r="2" spans="1:14" x14ac:dyDescent="0.3">
      <c r="A2" s="14" t="s">
        <v>33</v>
      </c>
      <c r="B2" s="15" t="s">
        <v>35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</row>
    <row r="3" spans="1:14" x14ac:dyDescent="0.3">
      <c r="A3" s="18" t="s">
        <v>34</v>
      </c>
      <c r="B3" s="13" t="s">
        <v>36</v>
      </c>
      <c r="C3" s="4" t="s">
        <v>37</v>
      </c>
      <c r="D3" s="4" t="s">
        <v>38</v>
      </c>
      <c r="E3" s="4" t="s">
        <v>39</v>
      </c>
      <c r="F3" s="4" t="s">
        <v>40</v>
      </c>
      <c r="G3" s="4" t="s">
        <v>41</v>
      </c>
      <c r="H3" s="4" t="s">
        <v>49</v>
      </c>
      <c r="I3" s="4" t="s">
        <v>42</v>
      </c>
      <c r="J3" s="4" t="s">
        <v>43</v>
      </c>
      <c r="K3" s="4" t="s">
        <v>44</v>
      </c>
      <c r="L3" s="4" t="s">
        <v>45</v>
      </c>
      <c r="M3" s="19" t="s">
        <v>46</v>
      </c>
      <c r="N3" t="s">
        <v>47</v>
      </c>
    </row>
    <row r="4" spans="1:14" x14ac:dyDescent="0.3">
      <c r="A4" s="20" t="s">
        <v>48</v>
      </c>
      <c r="B4" s="21">
        <f>+SUM(B5:B28)</f>
        <v>44398.638897836317</v>
      </c>
      <c r="C4" s="21">
        <f>+SUM(C5:C28)</f>
        <v>-2.9214178430414867E-2</v>
      </c>
      <c r="D4" s="21">
        <f t="shared" ref="D4:N4" si="0">+SUM(D5:D28)</f>
        <v>-2.2989352379745209E-2</v>
      </c>
      <c r="E4" s="21">
        <f t="shared" si="0"/>
        <v>88.565212250502682</v>
      </c>
      <c r="F4" s="21">
        <f t="shared" si="0"/>
        <v>7996.2915100419868</v>
      </c>
      <c r="G4" s="21">
        <f t="shared" si="0"/>
        <v>35853.587799781955</v>
      </c>
      <c r="H4" s="21">
        <f t="shared" si="0"/>
        <v>309.26691313391859</v>
      </c>
      <c r="I4" s="21">
        <f t="shared" si="0"/>
        <v>3.2015717429339365</v>
      </c>
      <c r="J4" s="21">
        <f t="shared" si="0"/>
        <v>147.77809441582488</v>
      </c>
      <c r="K4" s="21">
        <f t="shared" si="0"/>
        <v>0</v>
      </c>
      <c r="L4" s="21">
        <f t="shared" si="0"/>
        <v>0</v>
      </c>
      <c r="M4" s="22">
        <f t="shared" si="0"/>
        <v>0</v>
      </c>
      <c r="N4" s="23">
        <f t="shared" si="0"/>
        <v>0</v>
      </c>
    </row>
    <row r="5" spans="1:14" x14ac:dyDescent="0.3">
      <c r="A5" s="9">
        <f>+[27]Summary!A8</f>
        <v>45139</v>
      </c>
      <c r="B5" s="10">
        <f>+[27]Summary!H8</f>
        <v>0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2">
        <f t="shared" ref="N5:N6" si="1">+B5-SUM(C5:M5)</f>
        <v>0</v>
      </c>
    </row>
    <row r="6" spans="1:14" x14ac:dyDescent="0.3">
      <c r="A6" s="9">
        <f>+[27]Summary!A9</f>
        <v>45170</v>
      </c>
      <c r="B6" s="10">
        <f>+[27]Summary!H9</f>
        <v>42.72036916250363</v>
      </c>
      <c r="C6" s="11">
        <f>+$B6*[28]Allocation!U5</f>
        <v>0</v>
      </c>
      <c r="D6" s="11">
        <f>+$B6*[28]Allocation!V5</f>
        <v>0</v>
      </c>
      <c r="E6" s="11">
        <f>+$B6*[28]Allocation!W5</f>
        <v>9.7171295980478298</v>
      </c>
      <c r="F6" s="11">
        <f>+$B6*[28]Allocation!AH5</f>
        <v>31.779575255429709</v>
      </c>
      <c r="G6" s="11">
        <f>+$B6*[28]Allocation!AI5</f>
        <v>0</v>
      </c>
      <c r="H6" s="11">
        <f>+$B6*[28]Allocation!AB5</f>
        <v>0</v>
      </c>
      <c r="I6" s="11">
        <f>+$B6*[28]Allocation!AC5</f>
        <v>2.5174274167993143E-3</v>
      </c>
      <c r="J6" s="11">
        <f>+$B6*[28]Allocation!AD5</f>
        <v>1.2211468816092939</v>
      </c>
      <c r="K6" s="11">
        <f>+$B6*[28]Allocation!AE5</f>
        <v>0</v>
      </c>
      <c r="L6" s="11">
        <f>+$B6*[28]Allocation!AF5</f>
        <v>0</v>
      </c>
      <c r="M6" s="11">
        <f>+$B6*[28]Allocation!AG5</f>
        <v>0</v>
      </c>
      <c r="N6" s="12">
        <f t="shared" si="1"/>
        <v>0</v>
      </c>
    </row>
    <row r="7" spans="1:14" x14ac:dyDescent="0.3">
      <c r="A7" s="9">
        <f>+[27]Summary!A10</f>
        <v>45200</v>
      </c>
      <c r="B7" s="10">
        <f>+[27]Summary!H10</f>
        <v>53.738378350622952</v>
      </c>
      <c r="C7" s="11">
        <f>+$B7*[28]Allocation!U6</f>
        <v>-1.6269555747206203E-3</v>
      </c>
      <c r="D7" s="11">
        <f>+$B7*[28]Allocation!V6</f>
        <v>0</v>
      </c>
      <c r="E7" s="11">
        <f>+$B7*[28]Allocation!W6</f>
        <v>9.8263066147392699</v>
      </c>
      <c r="F7" s="11">
        <f>+$B7*[28]Allocation!AH6</f>
        <v>42.326170499546599</v>
      </c>
      <c r="G7" s="11">
        <f>+$B7*[28]Allocation!AI6</f>
        <v>0</v>
      </c>
      <c r="H7" s="11">
        <f>+$B7*[28]Allocation!AB6</f>
        <v>0</v>
      </c>
      <c r="I7" s="11">
        <f>+$B7*[28]Allocation!AC6</f>
        <v>3.2761336386654878E-3</v>
      </c>
      <c r="J7" s="11">
        <f>+$B7*[28]Allocation!AD6</f>
        <v>1.584252058273141</v>
      </c>
      <c r="K7" s="11">
        <f>+$B7*[28]Allocation!AE6</f>
        <v>0</v>
      </c>
      <c r="L7" s="11">
        <f>+$B7*[28]Allocation!AF6</f>
        <v>0</v>
      </c>
      <c r="M7" s="11">
        <f>+$B7*[28]Allocation!AG6</f>
        <v>0</v>
      </c>
      <c r="N7" s="12">
        <f t="shared" ref="N7:N28" si="2">+B7-SUM(C7:M7)</f>
        <v>0</v>
      </c>
    </row>
    <row r="8" spans="1:14" x14ac:dyDescent="0.3">
      <c r="A8" s="9">
        <f>+[27]Summary!A11</f>
        <v>45231</v>
      </c>
      <c r="B8" s="10">
        <f>+[27]Summary!H11</f>
        <v>56.621434992324794</v>
      </c>
      <c r="C8" s="11">
        <f>+$B8*[28]Allocation!U7</f>
        <v>0</v>
      </c>
      <c r="D8" s="11">
        <f>+$B8*[28]Allocation!V7</f>
        <v>0</v>
      </c>
      <c r="E8" s="11">
        <f>+$B8*[28]Allocation!W7</f>
        <v>7.7424260663528681</v>
      </c>
      <c r="F8" s="11">
        <f>+$B8*[28]Allocation!AH7</f>
        <v>47.142928915357395</v>
      </c>
      <c r="G8" s="11">
        <f>+$B8*[28]Allocation!AI7</f>
        <v>0</v>
      </c>
      <c r="H8" s="11">
        <f>+$B8*[28]Allocation!AB7</f>
        <v>0</v>
      </c>
      <c r="I8" s="11">
        <f>+$B8*[28]Allocation!AC7</f>
        <v>3.4056015054237513E-3</v>
      </c>
      <c r="J8" s="11">
        <f>+$B8*[28]Allocation!AD7</f>
        <v>1.7326744091091071</v>
      </c>
      <c r="K8" s="11">
        <f>+$B8*[28]Allocation!AE7</f>
        <v>0</v>
      </c>
      <c r="L8" s="11">
        <f>+$B8*[28]Allocation!AF7</f>
        <v>0</v>
      </c>
      <c r="M8" s="11">
        <f>+$B8*[28]Allocation!AG7</f>
        <v>0</v>
      </c>
      <c r="N8" s="12">
        <f t="shared" si="2"/>
        <v>0</v>
      </c>
    </row>
    <row r="9" spans="1:14" x14ac:dyDescent="0.3">
      <c r="A9" s="9">
        <f>+[27]Summary!A12</f>
        <v>45261</v>
      </c>
      <c r="B9" s="10">
        <f>+[27]Summary!H12</f>
        <v>59.115664946642937</v>
      </c>
      <c r="C9" s="11">
        <f>+$B9*[28]Allocation!U8</f>
        <v>-2.7587222855694246E-2</v>
      </c>
      <c r="D9" s="11">
        <f>+$B9*[28]Allocation!V8</f>
        <v>-2.2989352379745209E-2</v>
      </c>
      <c r="E9" s="11">
        <f>+$B9*[28]Allocation!W8</f>
        <v>6.1332552051403439</v>
      </c>
      <c r="F9" s="11">
        <f>+$B9*[28]Allocation!AH8</f>
        <v>51.265754301654418</v>
      </c>
      <c r="G9" s="11">
        <f>+$B9*[28]Allocation!AI8</f>
        <v>0</v>
      </c>
      <c r="H9" s="11">
        <f>+$B9*[28]Allocation!AB8</f>
        <v>0</v>
      </c>
      <c r="I9" s="11">
        <f>+$B9*[28]Allocation!AC8</f>
        <v>3.5985585369195765E-3</v>
      </c>
      <c r="J9" s="11">
        <f>+$B9*[28]Allocation!AD8</f>
        <v>1.763633456546694</v>
      </c>
      <c r="K9" s="11">
        <f>+$B9*[28]Allocation!AE8</f>
        <v>0</v>
      </c>
      <c r="L9" s="11">
        <f>+$B9*[28]Allocation!AF8</f>
        <v>0</v>
      </c>
      <c r="M9" s="11">
        <f>+$B9*[28]Allocation!AG8</f>
        <v>0</v>
      </c>
      <c r="N9" s="12">
        <f t="shared" si="2"/>
        <v>0</v>
      </c>
    </row>
    <row r="10" spans="1:14" x14ac:dyDescent="0.3">
      <c r="A10" s="9">
        <f>+[27]Summary!A13</f>
        <v>45292</v>
      </c>
      <c r="B10" s="10">
        <f>+[27]Summary!H13</f>
        <v>560.74998737993883</v>
      </c>
      <c r="C10" s="11">
        <f>+$B10*[28]Allocation!U9</f>
        <v>0</v>
      </c>
      <c r="D10" s="11">
        <f>+$B10*[28]Allocation!V9</f>
        <v>0</v>
      </c>
      <c r="E10" s="11">
        <f>+$B10*[28]Allocation!W9</f>
        <v>38.548080882456247</v>
      </c>
      <c r="F10" s="11">
        <f>+$B10*[28]Allocation!AH9</f>
        <v>506.97338081576999</v>
      </c>
      <c r="G10" s="11">
        <f>+$B10*[28]Allocation!AI9</f>
        <v>0</v>
      </c>
      <c r="H10" s="11">
        <f>+$B10*[28]Allocation!AB9</f>
        <v>0</v>
      </c>
      <c r="I10" s="11">
        <f>+$B10*[28]Allocation!AC9</f>
        <v>0</v>
      </c>
      <c r="J10" s="11">
        <f>+$B10*[28]Allocation!AD9</f>
        <v>15.22852568171257</v>
      </c>
      <c r="K10" s="11">
        <f>+$B10*[28]Allocation!AE9</f>
        <v>0</v>
      </c>
      <c r="L10" s="11">
        <f>+$B10*[28]Allocation!AF9</f>
        <v>0</v>
      </c>
      <c r="M10" s="11">
        <f>+$B10*[28]Allocation!AG9</f>
        <v>0</v>
      </c>
      <c r="N10" s="12">
        <f t="shared" si="2"/>
        <v>0</v>
      </c>
    </row>
    <row r="11" spans="1:14" x14ac:dyDescent="0.3">
      <c r="A11" s="9">
        <f>+[27]Summary!A14</f>
        <v>45323</v>
      </c>
      <c r="B11" s="10">
        <f>+[27]Summary!H14</f>
        <v>622.36962399707409</v>
      </c>
      <c r="C11" s="11">
        <f>+$B11*[28]Allocation!U10</f>
        <v>0</v>
      </c>
      <c r="D11" s="11">
        <f>+$B11*[28]Allocation!V10</f>
        <v>0</v>
      </c>
      <c r="E11" s="11">
        <f>+$B11*[28]Allocation!W10</f>
        <v>20.99373090057847</v>
      </c>
      <c r="F11" s="11">
        <f>+$B11*[28]Allocation!AH10</f>
        <v>586.86957918567589</v>
      </c>
      <c r="G11" s="11">
        <f>+$B11*[28]Allocation!AI10</f>
        <v>8.5118518899097148E-2</v>
      </c>
      <c r="H11" s="11">
        <f>+$B11*[28]Allocation!AB10</f>
        <v>0</v>
      </c>
      <c r="I11" s="11">
        <f>+$B11*[28]Allocation!AC10</f>
        <v>3.8257723063941949E-2</v>
      </c>
      <c r="J11" s="11">
        <f>+$B11*[28]Allocation!AD10</f>
        <v>14.382937668856631</v>
      </c>
      <c r="K11" s="11">
        <f>+$B11*[28]Allocation!AE10</f>
        <v>0</v>
      </c>
      <c r="L11" s="11">
        <f>+$B11*[28]Allocation!AF10</f>
        <v>0</v>
      </c>
      <c r="M11" s="11">
        <f>+$B11*[28]Allocation!AG10</f>
        <v>0</v>
      </c>
      <c r="N11" s="12">
        <f t="shared" si="2"/>
        <v>0</v>
      </c>
    </row>
    <row r="12" spans="1:14" x14ac:dyDescent="0.3">
      <c r="A12" s="9">
        <f>+[27]Summary!A15</f>
        <v>45352</v>
      </c>
      <c r="B12" s="10">
        <f>+[27]Summary!H15</f>
        <v>1395.7227538730949</v>
      </c>
      <c r="C12" s="11">
        <f>+$B12*[28]Allocation!U11</f>
        <v>0</v>
      </c>
      <c r="D12" s="11">
        <f>+$B12*[28]Allocation!V11</f>
        <v>0</v>
      </c>
      <c r="E12" s="11">
        <f>+$B12*[28]Allocation!W11</f>
        <v>-1.8995130036217012</v>
      </c>
      <c r="F12" s="11">
        <f>+$B12*[28]Allocation!AH11</f>
        <v>1343.4379406657604</v>
      </c>
      <c r="G12" s="11">
        <f>+$B12*[28]Allocation!AI11</f>
        <v>26.840375646840421</v>
      </c>
      <c r="H12" s="11">
        <f>+$B12*[28]Allocation!AB11</f>
        <v>0</v>
      </c>
      <c r="I12" s="11">
        <f>+$B12*[28]Allocation!AC11</f>
        <v>8.6855181655681804E-2</v>
      </c>
      <c r="J12" s="11">
        <f>+$B12*[28]Allocation!AD11</f>
        <v>27.25709538246009</v>
      </c>
      <c r="K12" s="11">
        <f>+$B12*[28]Allocation!AE11</f>
        <v>0</v>
      </c>
      <c r="L12" s="11">
        <f>+$B12*[28]Allocation!AF11</f>
        <v>0</v>
      </c>
      <c r="M12" s="11">
        <f>+$B12*[28]Allocation!AG11</f>
        <v>0</v>
      </c>
      <c r="N12" s="12">
        <f t="shared" si="2"/>
        <v>0</v>
      </c>
    </row>
    <row r="13" spans="1:14" x14ac:dyDescent="0.3">
      <c r="A13" s="9">
        <f>+[27]Summary!A16</f>
        <v>45383</v>
      </c>
      <c r="B13" s="10">
        <f>+[27]Summary!H16</f>
        <v>1403.1639329973841</v>
      </c>
      <c r="C13" s="11">
        <f>+$B13*[28]Allocation!U12</f>
        <v>0</v>
      </c>
      <c r="D13" s="11">
        <f>+$B13*[28]Allocation!V12</f>
        <v>0</v>
      </c>
      <c r="E13" s="11">
        <f>+$B13*[28]Allocation!W12</f>
        <v>-1.0881585659861857</v>
      </c>
      <c r="F13" s="11">
        <f>+$B13*[28]Allocation!AH12</f>
        <v>1115.1343489809071</v>
      </c>
      <c r="G13" s="11">
        <f>+$B13*[28]Allocation!AI12</f>
        <v>266.72580336756874</v>
      </c>
      <c r="H13" s="11">
        <f>+$B13*[28]Allocation!AB12</f>
        <v>0</v>
      </c>
      <c r="I13" s="11">
        <f>+$B13*[28]Allocation!AC12</f>
        <v>8.3724362225570018E-2</v>
      </c>
      <c r="J13" s="11">
        <f>+$B13*[28]Allocation!AD12</f>
        <v>22.308214852668605</v>
      </c>
      <c r="K13" s="11">
        <f>+$B13*[28]Allocation!AE12</f>
        <v>0</v>
      </c>
      <c r="L13" s="11">
        <f>+$B13*[28]Allocation!AF12</f>
        <v>0</v>
      </c>
      <c r="M13" s="11">
        <f>+$B13*[28]Allocation!AG12</f>
        <v>0</v>
      </c>
      <c r="N13" s="12">
        <f t="shared" si="2"/>
        <v>0</v>
      </c>
    </row>
    <row r="14" spans="1:14" x14ac:dyDescent="0.3">
      <c r="A14" s="9">
        <f>+[27]Summary!A17</f>
        <v>45413</v>
      </c>
      <c r="B14" s="10">
        <f>+[27]Summary!H17</f>
        <v>1590.9441361064673</v>
      </c>
      <c r="C14" s="11">
        <f>+$B14*[28]Allocation!U13</f>
        <v>0</v>
      </c>
      <c r="D14" s="11">
        <f>+$B14*[28]Allocation!V13</f>
        <v>0</v>
      </c>
      <c r="E14" s="11">
        <f>+$B14*[28]Allocation!W13</f>
        <v>-0.1139258953057974</v>
      </c>
      <c r="F14" s="11">
        <f>+$B14*[28]Allocation!AH13</f>
        <v>984.08019048526114</v>
      </c>
      <c r="G14" s="11">
        <f>+$B14*[28]Allocation!AI13</f>
        <v>587.3430471529781</v>
      </c>
      <c r="H14" s="11">
        <f>+$B14*[28]Allocation!AB13</f>
        <v>0</v>
      </c>
      <c r="I14" s="11">
        <f>+$B14*[28]Allocation!AC13</f>
        <v>8.9164974366586922E-2</v>
      </c>
      <c r="J14" s="11">
        <f>+$B14*[28]Allocation!AD13</f>
        <v>19.545659389167195</v>
      </c>
      <c r="K14" s="11">
        <f>+$B14*[28]Allocation!AE13</f>
        <v>0</v>
      </c>
      <c r="L14" s="11">
        <f>+$B14*[28]Allocation!AF13</f>
        <v>0</v>
      </c>
      <c r="M14" s="11">
        <f>+$B14*[28]Allocation!AG13</f>
        <v>0</v>
      </c>
      <c r="N14" s="12">
        <f t="shared" si="2"/>
        <v>0</v>
      </c>
    </row>
    <row r="15" spans="1:14" x14ac:dyDescent="0.3">
      <c r="A15" s="9">
        <f>+[27]Summary!A18</f>
        <v>45444</v>
      </c>
      <c r="B15" s="10">
        <f>+[27]Summary!H18</f>
        <v>1134.2769853536447</v>
      </c>
      <c r="C15" s="11">
        <f>+$B15*[28]Allocation!U14</f>
        <v>0</v>
      </c>
      <c r="D15" s="11">
        <f>+$B15*[28]Allocation!V14</f>
        <v>0</v>
      </c>
      <c r="E15" s="11">
        <f>+$B15*[28]Allocation!W14</f>
        <v>-0.19234156480549178</v>
      </c>
      <c r="F15" s="11">
        <f>+$B15*[28]Allocation!AH14</f>
        <v>534.33939269299776</v>
      </c>
      <c r="G15" s="11">
        <f>+$B15*[28]Allocation!AI14</f>
        <v>588.54497648379947</v>
      </c>
      <c r="H15" s="11">
        <f>+$B15*[28]Allocation!AB14</f>
        <v>0</v>
      </c>
      <c r="I15" s="11">
        <f>+$B15*[28]Allocation!AC14</f>
        <v>6.1610594731282421E-2</v>
      </c>
      <c r="J15" s="11">
        <f>+$B15*[28]Allocation!AD14</f>
        <v>11.523347146921836</v>
      </c>
      <c r="K15" s="11">
        <f>+$B15*[28]Allocation!AE14</f>
        <v>0</v>
      </c>
      <c r="L15" s="11">
        <f>+$B15*[28]Allocation!AF14</f>
        <v>0</v>
      </c>
      <c r="M15" s="11">
        <f>+$B15*[28]Allocation!AG14</f>
        <v>0</v>
      </c>
      <c r="N15" s="12">
        <f t="shared" si="2"/>
        <v>0</v>
      </c>
    </row>
    <row r="16" spans="1:14" x14ac:dyDescent="0.3">
      <c r="A16" s="9">
        <f>+[27]Summary!A19</f>
        <v>45474</v>
      </c>
      <c r="B16" s="10">
        <f>+[27]Summary!H19</f>
        <v>1162.5142800624599</v>
      </c>
      <c r="C16" s="11">
        <f>+$B16*[28]Allocation!U15</f>
        <v>0</v>
      </c>
      <c r="D16" s="11">
        <f>+$B16*[28]Allocation!V15</f>
        <v>0</v>
      </c>
      <c r="E16" s="11">
        <f>+$B16*[28]Allocation!W15</f>
        <v>0</v>
      </c>
      <c r="F16" s="11">
        <f>+$B16*[28]Allocation!AH15</f>
        <v>365.34614967093563</v>
      </c>
      <c r="G16" s="11">
        <f>+$B16*[28]Allocation!AI15</f>
        <v>788.0102873862769</v>
      </c>
      <c r="H16" s="11">
        <f>+$B16*[28]Allocation!AB15</f>
        <v>0</v>
      </c>
      <c r="I16" s="11">
        <f>+$B16*[28]Allocation!AC15</f>
        <v>6.031029609168604E-2</v>
      </c>
      <c r="J16" s="11">
        <f>+$B16*[28]Allocation!AD15</f>
        <v>9.0975327091555744</v>
      </c>
      <c r="K16" s="11">
        <f>+$B16*[28]Allocation!AE15</f>
        <v>0</v>
      </c>
      <c r="L16" s="11">
        <f>+$B16*[28]Allocation!AF15</f>
        <v>0</v>
      </c>
      <c r="M16" s="11">
        <f>+$B16*[28]Allocation!AG15</f>
        <v>0</v>
      </c>
      <c r="N16" s="12">
        <f t="shared" si="2"/>
        <v>0</v>
      </c>
    </row>
    <row r="17" spans="1:14" x14ac:dyDescent="0.3">
      <c r="A17" s="9">
        <f>+[27]Summary!A20</f>
        <v>45505</v>
      </c>
      <c r="B17" s="10">
        <f>+[27]Summary!H20</f>
        <v>1891.9571330082545</v>
      </c>
      <c r="C17" s="11">
        <f>+$B17*[28]Allocation!U16</f>
        <v>0</v>
      </c>
      <c r="D17" s="11">
        <f>+$B17*[28]Allocation!V16</f>
        <v>0</v>
      </c>
      <c r="E17" s="11">
        <f>+$B17*[28]Allocation!W16</f>
        <v>-0.8295832672992618</v>
      </c>
      <c r="F17" s="11">
        <f>+$B17*[28]Allocation!AH16</f>
        <v>466.77067280298553</v>
      </c>
      <c r="G17" s="11">
        <f>+$B17*[28]Allocation!AI16</f>
        <v>1415.3359362198928</v>
      </c>
      <c r="H17" s="11">
        <f>+$B17*[28]Allocation!AB16</f>
        <v>0</v>
      </c>
      <c r="I17" s="11">
        <f>+$B17*[28]Allocation!AC16</f>
        <v>0.10228919797777039</v>
      </c>
      <c r="J17" s="11">
        <f>+$B17*[28]Allocation!AD16</f>
        <v>10.57781805469771</v>
      </c>
      <c r="K17" s="11">
        <f>+$B17*[28]Allocation!AE16</f>
        <v>0</v>
      </c>
      <c r="L17" s="11">
        <f>+$B17*[28]Allocation!AF16</f>
        <v>0</v>
      </c>
      <c r="M17" s="11">
        <f>+$B17*[28]Allocation!AG16</f>
        <v>0</v>
      </c>
      <c r="N17" s="12">
        <f t="shared" si="2"/>
        <v>0</v>
      </c>
    </row>
    <row r="18" spans="1:14" x14ac:dyDescent="0.3">
      <c r="A18" s="9">
        <f>+[27]Summary!A21</f>
        <v>45536</v>
      </c>
      <c r="B18" s="10">
        <f>+[27]Summary!H21</f>
        <v>1800.5655793824844</v>
      </c>
      <c r="C18" s="11">
        <f>+$B18*[28]Allocation!U17</f>
        <v>0</v>
      </c>
      <c r="D18" s="11">
        <f>+$B18*[28]Allocation!V17</f>
        <v>0</v>
      </c>
      <c r="E18" s="11">
        <f>+$B18*[28]Allocation!W17</f>
        <v>0</v>
      </c>
      <c r="F18" s="11">
        <f>+$B18*[28]Allocation!AH17</f>
        <v>354.02998214757775</v>
      </c>
      <c r="G18" s="11">
        <f>+$B18*[28]Allocation!AI17</f>
        <v>1440.6770450149004</v>
      </c>
      <c r="H18" s="11">
        <f>+$B18*[28]Allocation!AB17</f>
        <v>0</v>
      </c>
      <c r="I18" s="11">
        <f>+$B18*[28]Allocation!AC17</f>
        <v>9.4977052707233028E-2</v>
      </c>
      <c r="J18" s="11">
        <f>+$B18*[28]Allocation!AD17</f>
        <v>5.7635751672990487</v>
      </c>
      <c r="K18" s="11">
        <f>+$B18*[28]Allocation!AE17</f>
        <v>0</v>
      </c>
      <c r="L18" s="11">
        <f>+$B18*[28]Allocation!AF17</f>
        <v>0</v>
      </c>
      <c r="M18" s="11">
        <f>+$B18*[28]Allocation!AG17</f>
        <v>0</v>
      </c>
      <c r="N18" s="12">
        <f t="shared" si="2"/>
        <v>0</v>
      </c>
    </row>
    <row r="19" spans="1:14" x14ac:dyDescent="0.3">
      <c r="A19" s="9">
        <f>+[27]Summary!A22</f>
        <v>45566</v>
      </c>
      <c r="B19" s="10">
        <f>+[27]Summary!H22</f>
        <v>2916.4390252784069</v>
      </c>
      <c r="C19" s="11">
        <f>+$B19*[28]Allocation!U18</f>
        <v>0</v>
      </c>
      <c r="D19" s="11">
        <f>+$B19*[28]Allocation!V18</f>
        <v>0</v>
      </c>
      <c r="E19" s="11">
        <f>+$B19*[28]Allocation!W18</f>
        <v>-0.27219471979392146</v>
      </c>
      <c r="F19" s="11">
        <f>+$B19*[28]Allocation!AH18</f>
        <v>433.91088648886836</v>
      </c>
      <c r="G19" s="11">
        <f>+$B19*[28]Allocation!AI18</f>
        <v>2478.0510341752447</v>
      </c>
      <c r="H19" s="11">
        <f>+$B19*[28]Allocation!AB18</f>
        <v>0</v>
      </c>
      <c r="I19" s="11">
        <f>+$B19*[28]Allocation!AC18</f>
        <v>0.15779639082428834</v>
      </c>
      <c r="J19" s="11">
        <f>+$B19*[28]Allocation!AD18</f>
        <v>4.5915029432637171</v>
      </c>
      <c r="K19" s="11">
        <f>+$B19*[28]Allocation!AE18</f>
        <v>0</v>
      </c>
      <c r="L19" s="11">
        <f>+$B19*[28]Allocation!AF18</f>
        <v>0</v>
      </c>
      <c r="M19" s="11">
        <f>+$B19*[28]Allocation!AG18</f>
        <v>0</v>
      </c>
      <c r="N19" s="12">
        <f t="shared" si="2"/>
        <v>0</v>
      </c>
    </row>
    <row r="20" spans="1:14" x14ac:dyDescent="0.3">
      <c r="A20" s="9">
        <f>+[27]Summary!A23</f>
        <v>45597</v>
      </c>
      <c r="B20" s="10">
        <f>+[27]Summary!H23</f>
        <v>2828.1413206627476</v>
      </c>
      <c r="C20" s="11">
        <f>+$B20*[28]Allocation!U19</f>
        <v>0</v>
      </c>
      <c r="D20" s="11">
        <f>+$B20*[28]Allocation!V19</f>
        <v>0</v>
      </c>
      <c r="E20" s="11">
        <f>+$B20*[28]Allocation!W19</f>
        <v>0</v>
      </c>
      <c r="F20" s="11">
        <f>+$B20*[28]Allocation!AH19</f>
        <v>356.6281226349829</v>
      </c>
      <c r="G20" s="11">
        <f>+$B20*[28]Allocation!AI19</f>
        <v>2470.1393055925005</v>
      </c>
      <c r="H20" s="11">
        <f>+$B20*[28]Allocation!AB19</f>
        <v>0</v>
      </c>
      <c r="I20" s="11">
        <f>+$B20*[28]Allocation!AC19</f>
        <v>0.17371382118044279</v>
      </c>
      <c r="J20" s="11">
        <f>+$B20*[28]Allocation!AD19</f>
        <v>1.2001786140836679</v>
      </c>
      <c r="K20" s="11">
        <f>+$B20*[28]Allocation!AE19</f>
        <v>0</v>
      </c>
      <c r="L20" s="11">
        <f>+$B20*[28]Allocation!AF19</f>
        <v>0</v>
      </c>
      <c r="M20" s="11">
        <f>+$B20*[28]Allocation!AG19</f>
        <v>0</v>
      </c>
      <c r="N20" s="12">
        <f t="shared" si="2"/>
        <v>0</v>
      </c>
    </row>
    <row r="21" spans="1:14" x14ac:dyDescent="0.3">
      <c r="A21" s="9">
        <f>+[27]Summary!A24</f>
        <v>45627</v>
      </c>
      <c r="B21" s="10">
        <f>+[27]Summary!H24</f>
        <v>3262.8999006865342</v>
      </c>
      <c r="C21" s="11">
        <f>+$B21*[28]Allocation!U20</f>
        <v>0</v>
      </c>
      <c r="D21" s="11">
        <f>+$B21*[28]Allocation!V20</f>
        <v>0</v>
      </c>
      <c r="E21" s="11">
        <f>+$B21*[28]Allocation!W20</f>
        <v>0</v>
      </c>
      <c r="F21" s="11">
        <f>+$B21*[28]Allocation!AH20</f>
        <v>335.24123638339393</v>
      </c>
      <c r="G21" s="11">
        <f>+$B21*[28]Allocation!AI20</f>
        <v>2927.4405594528898</v>
      </c>
      <c r="H21" s="11">
        <f>+$B21*[28]Allocation!AB20</f>
        <v>0</v>
      </c>
      <c r="I21" s="11">
        <f>+$B21*[28]Allocation!AC20</f>
        <v>0.21810485025041745</v>
      </c>
      <c r="J21" s="11">
        <f>+$B21*[28]Allocation!AD20</f>
        <v>0</v>
      </c>
      <c r="K21" s="11">
        <f>+$B21*[28]Allocation!AE20</f>
        <v>0</v>
      </c>
      <c r="L21" s="11">
        <f>+$B21*[28]Allocation!AF20</f>
        <v>0</v>
      </c>
      <c r="M21" s="11">
        <f>+$B21*[28]Allocation!AG20</f>
        <v>0</v>
      </c>
      <c r="N21" s="12">
        <f t="shared" si="2"/>
        <v>0</v>
      </c>
    </row>
    <row r="22" spans="1:14" x14ac:dyDescent="0.3">
      <c r="A22" s="9">
        <f>+[27]Summary!A25</f>
        <v>45658</v>
      </c>
      <c r="B22" s="10">
        <f>+[27]Summary!H25</f>
        <v>3691.8744994768495</v>
      </c>
      <c r="C22" s="11">
        <f>+$B22*[28]Allocation!U21</f>
        <v>0</v>
      </c>
      <c r="D22" s="11">
        <f>+$B22*[28]Allocation!V21</f>
        <v>0</v>
      </c>
      <c r="E22" s="11">
        <f>+$B22*[28]Allocation!W21</f>
        <v>0</v>
      </c>
      <c r="F22" s="11">
        <f>+$B22*[28]Allocation!AH21</f>
        <v>263.85392959494777</v>
      </c>
      <c r="G22" s="11">
        <f>+$B22*[28]Allocation!AI21</f>
        <v>3427.7504690445962</v>
      </c>
      <c r="H22" s="11">
        <f>+$B22*[28]Allocation!AB21</f>
        <v>0</v>
      </c>
      <c r="I22" s="11">
        <f>+$B22*[28]Allocation!AC21</f>
        <v>0.27010083730552181</v>
      </c>
      <c r="J22" s="11">
        <f>+$B22*[28]Allocation!AD21</f>
        <v>0</v>
      </c>
      <c r="K22" s="11">
        <f>+$B22*[28]Allocation!AE21</f>
        <v>0</v>
      </c>
      <c r="L22" s="11">
        <f>+$B22*[28]Allocation!AF21</f>
        <v>0</v>
      </c>
      <c r="M22" s="11">
        <f>+$B22*[28]Allocation!AG21</f>
        <v>0</v>
      </c>
      <c r="N22" s="12">
        <f t="shared" si="2"/>
        <v>0</v>
      </c>
    </row>
    <row r="23" spans="1:14" x14ac:dyDescent="0.3">
      <c r="A23" s="9">
        <f>+[27]Summary!A26</f>
        <v>45689</v>
      </c>
      <c r="B23" s="10">
        <f>+[27]Summary!H26</f>
        <v>5195.4452789077332</v>
      </c>
      <c r="C23" s="11">
        <f>+$B23*[28]Allocation!U22</f>
        <v>0</v>
      </c>
      <c r="D23" s="11">
        <f>+$B23*[28]Allocation!V22</f>
        <v>0</v>
      </c>
      <c r="E23" s="11">
        <f>+$B23*[28]Allocation!W22</f>
        <v>0</v>
      </c>
      <c r="F23" s="11">
        <f>+$B23*[28]Allocation!AH22</f>
        <v>185.57112239735358</v>
      </c>
      <c r="G23" s="11">
        <f>+$B23*[28]Allocation!AI22</f>
        <v>5009.4573050699382</v>
      </c>
      <c r="H23" s="11">
        <f>+$B23*[28]Allocation!AB22</f>
        <v>0</v>
      </c>
      <c r="I23" s="11">
        <f>+$B23*[28]Allocation!AC22</f>
        <v>0.41685144044197026</v>
      </c>
      <c r="J23" s="11">
        <f>+$B23*[28]Allocation!AD22</f>
        <v>0</v>
      </c>
      <c r="K23" s="11">
        <f>+$B23*[28]Allocation!AE22</f>
        <v>0</v>
      </c>
      <c r="L23" s="11">
        <f>+$B23*[28]Allocation!AF22</f>
        <v>0</v>
      </c>
      <c r="M23" s="11">
        <f>+$B23*[28]Allocation!AG22</f>
        <v>0</v>
      </c>
      <c r="N23" s="12">
        <f t="shared" si="2"/>
        <v>0</v>
      </c>
    </row>
    <row r="24" spans="1:14" x14ac:dyDescent="0.3">
      <c r="A24" s="9">
        <f>+[27]Summary!A27</f>
        <v>45717</v>
      </c>
      <c r="B24" s="10">
        <f>+[27]Summary!H27</f>
        <v>9306.1700021266006</v>
      </c>
      <c r="C24" s="11">
        <f>+$B24*[28]Allocation!U23</f>
        <v>0</v>
      </c>
      <c r="D24" s="11">
        <f>+$B24*[28]Allocation!V23</f>
        <v>0</v>
      </c>
      <c r="E24" s="11">
        <f>+$B24*[28]Allocation!W23</f>
        <v>0</v>
      </c>
      <c r="F24" s="11">
        <f>+$B24*[28]Allocation!AH23</f>
        <v>-8.046141173637702</v>
      </c>
      <c r="G24" s="11">
        <f>+$B24*[28]Allocation!AI23</f>
        <v>9262.5609718968317</v>
      </c>
      <c r="H24" s="11">
        <f>+$B24*[28]Allocation!AB23</f>
        <v>50.830052269960987</v>
      </c>
      <c r="I24" s="11">
        <f>+$B24*[28]Allocation!AC23</f>
        <v>0.82511913344464538</v>
      </c>
      <c r="J24" s="11">
        <f>+$B24*[28]Allocation!AD23</f>
        <v>0</v>
      </c>
      <c r="K24" s="11">
        <f>+$B24*[28]Allocation!AE23</f>
        <v>0</v>
      </c>
      <c r="L24" s="11">
        <f>+$B24*[28]Allocation!AF23</f>
        <v>0</v>
      </c>
      <c r="M24" s="11">
        <f>+$B24*[28]Allocation!AG23</f>
        <v>0</v>
      </c>
      <c r="N24" s="12">
        <f t="shared" si="2"/>
        <v>0</v>
      </c>
    </row>
    <row r="25" spans="1:14" x14ac:dyDescent="0.3">
      <c r="A25" s="9">
        <f>+[27]Summary!A28</f>
        <v>45748</v>
      </c>
      <c r="B25" s="10">
        <f>+[27]Summary!H28</f>
        <v>6576.7286110845416</v>
      </c>
      <c r="C25" s="11">
        <f>+$B25*[28]Allocation!U24</f>
        <v>0</v>
      </c>
      <c r="D25" s="11">
        <f>+$B25*[28]Allocation!V24</f>
        <v>0</v>
      </c>
      <c r="E25" s="11">
        <f>+$B25*[28]Allocation!W24</f>
        <v>0</v>
      </c>
      <c r="F25" s="11">
        <f>+$B25*[28]Allocation!AH24</f>
        <v>-1.0926331656801831</v>
      </c>
      <c r="G25" s="11">
        <f>+$B25*[28]Allocation!AI24</f>
        <v>6125.3091939482983</v>
      </c>
      <c r="H25" s="11">
        <f>+$B25*[28]Allocation!AB24</f>
        <v>451.87983570260945</v>
      </c>
      <c r="I25" s="11">
        <f>+$B25*[28]Allocation!AC24</f>
        <v>0.63221459931423529</v>
      </c>
      <c r="J25" s="11">
        <f>+$B25*[28]Allocation!AD24</f>
        <v>0</v>
      </c>
      <c r="K25" s="11">
        <f>+$B25*[28]Allocation!AE24</f>
        <v>0</v>
      </c>
      <c r="L25" s="11">
        <f>+$B25*[28]Allocation!AF24</f>
        <v>0</v>
      </c>
      <c r="M25" s="11">
        <f>+$B25*[28]Allocation!AG24</f>
        <v>0</v>
      </c>
      <c r="N25" s="12">
        <f t="shared" si="2"/>
        <v>0</v>
      </c>
    </row>
    <row r="26" spans="1:14" x14ac:dyDescent="0.3">
      <c r="A26" s="9">
        <f>+[27]Summary!A29</f>
        <v>45778</v>
      </c>
      <c r="B26" s="10">
        <f>+[27]Summary!H29</f>
        <v>-1153.52</v>
      </c>
      <c r="C26" s="11">
        <f>+$B26*[28]Allocation!U25</f>
        <v>0</v>
      </c>
      <c r="D26" s="11">
        <f>+$B26*[28]Allocation!V25</f>
        <v>0</v>
      </c>
      <c r="E26" s="11">
        <f>+$B26*[28]Allocation!W25</f>
        <v>0</v>
      </c>
      <c r="F26" s="11">
        <f>+$B26*[28]Allocation!AH25</f>
        <v>0.7289204618991284</v>
      </c>
      <c r="G26" s="11">
        <f>+$B26*[28]Allocation!AI25</f>
        <v>-960.68362918950208</v>
      </c>
      <c r="H26" s="11">
        <f>+$B26*[28]Allocation!AB25</f>
        <v>-193.44297483865182</v>
      </c>
      <c r="I26" s="11">
        <f>+$B26*[28]Allocation!AC25</f>
        <v>-0.12231643374514553</v>
      </c>
      <c r="J26" s="11">
        <f>+$B26*[28]Allocation!AD25</f>
        <v>0</v>
      </c>
      <c r="K26" s="11">
        <f>+$B26*[28]Allocation!AE25</f>
        <v>0</v>
      </c>
      <c r="L26" s="11">
        <f>+$B26*[28]Allocation!AF25</f>
        <v>0</v>
      </c>
      <c r="M26" s="11">
        <f>+$B26*[28]Allocation!AG25</f>
        <v>0</v>
      </c>
      <c r="N26" s="12">
        <f t="shared" si="2"/>
        <v>0</v>
      </c>
    </row>
    <row r="27" spans="1:14" x14ac:dyDescent="0.3">
      <c r="A27" s="9">
        <f>+[27]Summary!A30</f>
        <v>45809</v>
      </c>
      <c r="B27" s="10">
        <f>+[27]Summary!H30</f>
        <v>0</v>
      </c>
      <c r="C27" s="11">
        <f>+$B27*[28]Allocation!U26</f>
        <v>0</v>
      </c>
      <c r="D27" s="11">
        <f>+$B27*[28]Allocation!V26</f>
        <v>0</v>
      </c>
      <c r="E27" s="11">
        <f>+$B27*[28]Allocation!W26</f>
        <v>0</v>
      </c>
      <c r="F27" s="11">
        <f>+$B27*[28]Allocation!AH26</f>
        <v>0</v>
      </c>
      <c r="G27" s="11">
        <f>+$B27*[28]Allocation!AI26</f>
        <v>0</v>
      </c>
      <c r="H27" s="11">
        <f>+$B27*[28]Allocation!AB26</f>
        <v>0</v>
      </c>
      <c r="I27" s="11">
        <f>+$B27*[28]Allocation!AC26</f>
        <v>0</v>
      </c>
      <c r="J27" s="11">
        <f>+$B27*[28]Allocation!AD26</f>
        <v>0</v>
      </c>
      <c r="K27" s="11">
        <f>+$B27*[28]Allocation!AE26</f>
        <v>0</v>
      </c>
      <c r="L27" s="11">
        <f>+$B27*[28]Allocation!AF26</f>
        <v>0</v>
      </c>
      <c r="M27" s="11">
        <f>+$B27*[28]Allocation!AG26</f>
        <v>0</v>
      </c>
      <c r="N27" s="12">
        <f t="shared" si="2"/>
        <v>0</v>
      </c>
    </row>
    <row r="28" spans="1:14" x14ac:dyDescent="0.3">
      <c r="A28" s="9">
        <f>+[27]Summary!A31</f>
        <v>45839</v>
      </c>
      <c r="B28" s="10">
        <f>+[27]Summary!H31</f>
        <v>0</v>
      </c>
      <c r="C28" s="11">
        <f>+$B28*[28]Allocation!U27</f>
        <v>0</v>
      </c>
      <c r="D28" s="11">
        <f>+$B28*[28]Allocation!V27</f>
        <v>0</v>
      </c>
      <c r="E28" s="11">
        <f>+$B28*[28]Allocation!W27</f>
        <v>0</v>
      </c>
      <c r="F28" s="11">
        <f>+$B28*[28]Allocation!AH27</f>
        <v>0</v>
      </c>
      <c r="G28" s="11">
        <f>+$B28*[28]Allocation!AI27</f>
        <v>0</v>
      </c>
      <c r="H28" s="11">
        <f>+$B28*[28]Allocation!AB27</f>
        <v>0</v>
      </c>
      <c r="I28" s="11">
        <f>+$B28*[28]Allocation!AC27</f>
        <v>0</v>
      </c>
      <c r="J28" s="11">
        <f>+$B28*[28]Allocation!AD27</f>
        <v>0</v>
      </c>
      <c r="K28" s="11">
        <f>+$B28*[28]Allocation!AE27</f>
        <v>0</v>
      </c>
      <c r="L28" s="11">
        <f>+$B28*[28]Allocation!AF27</f>
        <v>0</v>
      </c>
      <c r="M28" s="11">
        <f>+$B28*[28]Allocation!AG27</f>
        <v>0</v>
      </c>
      <c r="N28" s="12">
        <f t="shared" si="2"/>
        <v>0</v>
      </c>
    </row>
    <row r="29" spans="1:14" x14ac:dyDescent="0.3">
      <c r="A29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XCH Allocation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Oranias</dc:creator>
  <cp:lastModifiedBy>Sofia Moretti</cp:lastModifiedBy>
  <dcterms:created xsi:type="dcterms:W3CDTF">2024-08-16T11:17:23Z</dcterms:created>
  <dcterms:modified xsi:type="dcterms:W3CDTF">2025-08-13T12:40:49Z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{49AD73FB-2191-42B3-A351-5598DE080B02}</vt:lpwstr>
  </property>
</Properties>
</file>