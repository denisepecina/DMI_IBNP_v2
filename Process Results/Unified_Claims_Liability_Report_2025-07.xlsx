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Moretti\OneDrive - ARM\Documents\GitHub\DMI_IBNP_v2\Process Results\"/>
    </mc:Choice>
  </mc:AlternateContent>
  <xr:revisionPtr revIDLastSave="0" documentId="13_ncr:1_{4E3C77A5-10D9-42CB-A379-6480986A0FA6}" xr6:coauthVersionLast="47" xr6:coauthVersionMax="47" xr10:uidLastSave="{00000000-0000-0000-0000-000000000000}"/>
  <bookViews>
    <workbookView xWindow="-108" yWindow="-108" windowWidth="23256" windowHeight="12576" xr2:uid="{9B94C235-4B85-4887-832D-FBC296CFB081}"/>
  </bookViews>
  <sheets>
    <sheet name="Claims Liability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D16" i="1" l="1"/>
  <c r="D6" i="1"/>
  <c r="D17" i="1" l="1"/>
  <c r="D7" i="1"/>
  <c r="D8" i="1" l="1"/>
  <c r="D18" i="1"/>
  <c r="D9" i="1" l="1"/>
  <c r="D10" i="1" s="1"/>
  <c r="D11" i="1" s="1"/>
  <c r="D12" i="1" s="1"/>
  <c r="D13" i="1" s="1"/>
  <c r="D19" i="1"/>
  <c r="C18" i="1"/>
  <c r="E18" i="1" l="1"/>
  <c r="F18" i="1" s="1"/>
  <c r="C15" i="1" l="1"/>
  <c r="E15" i="1"/>
  <c r="F15" i="1"/>
  <c r="C14" i="1"/>
  <c r="E14" i="1"/>
  <c r="F14" i="1"/>
  <c r="C17" i="1"/>
  <c r="E17" i="1"/>
  <c r="F17" i="1" s="1"/>
  <c r="C10" i="1"/>
  <c r="C9" i="1"/>
  <c r="C7" i="1"/>
  <c r="C5" i="1"/>
  <c r="C13" i="1" l="1"/>
  <c r="C16" i="1"/>
  <c r="C12" i="1"/>
  <c r="C11" i="1"/>
  <c r="C8" i="1"/>
  <c r="C6" i="1"/>
  <c r="C19" i="1"/>
  <c r="E10" i="1"/>
  <c r="F10" i="1" s="1"/>
  <c r="E9" i="1"/>
  <c r="F9" i="1" s="1"/>
  <c r="E7" i="1"/>
  <c r="F7" i="1" s="1"/>
  <c r="B21" i="1"/>
  <c r="E5" i="1"/>
  <c r="F5" i="1" s="1"/>
  <c r="C21" i="1" l="1"/>
  <c r="E19" i="1"/>
  <c r="E6" i="1"/>
  <c r="F6" i="1" s="1"/>
  <c r="E8" i="1"/>
  <c r="F8" i="1" s="1"/>
  <c r="E11" i="1"/>
  <c r="F11" i="1" s="1"/>
  <c r="E12" i="1"/>
  <c r="F12" i="1" s="1"/>
  <c r="E16" i="1"/>
  <c r="F16" i="1" s="1"/>
  <c r="E13" i="1"/>
  <c r="F13" i="1" s="1"/>
  <c r="E21" i="1"/>
  <c r="F19" i="1" l="1"/>
  <c r="F21" i="1"/>
  <c r="F26" i="1" l="1"/>
  <c r="K26" i="1" l="1"/>
  <c r="J26" i="1"/>
  <c r="I26" i="1"/>
  <c r="H26" i="1"/>
  <c r="G26" i="1"/>
  <c r="E26" i="1"/>
  <c r="D26" i="1"/>
  <c r="C26" i="1"/>
  <c r="B26" i="1"/>
  <c r="L26" i="1" s="1"/>
  <c r="A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tc={FEE7276F-F39D-4233-9473-6D1FFD4DFD91}</author>
  </authors>
  <commentList>
    <comment ref="C22" authorId="0" shapeId="0" xr:uid="{FEE7276F-F39D-4233-9473-6D1FFD4DFD9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defined by Karl</t>
      </text>
    </comment>
  </commentList>
</comments>
</file>

<file path=xl/sharedStrings.xml><?xml version="1.0" encoding="utf-8"?>
<sst xmlns="http://schemas.openxmlformats.org/spreadsheetml/2006/main" count="39" uniqueCount="38">
  <si>
    <t>Company_Code</t>
  </si>
  <si>
    <t>Claim Liability</t>
  </si>
  <si>
    <t>LAE Percentage</t>
  </si>
  <si>
    <t>LAE Liability</t>
  </si>
  <si>
    <t>Claim_Liability_Total</t>
  </si>
  <si>
    <t>ASL</t>
  </si>
  <si>
    <t>AMH</t>
  </si>
  <si>
    <t>GTL</t>
  </si>
  <si>
    <t>NFL</t>
  </si>
  <si>
    <t>NSL</t>
  </si>
  <si>
    <t>PEN</t>
  </si>
  <si>
    <t>PHS</t>
  </si>
  <si>
    <t>PRT</t>
  </si>
  <si>
    <t>USH</t>
  </si>
  <si>
    <t>Total</t>
  </si>
  <si>
    <t>GBR</t>
  </si>
  <si>
    <t>XCH</t>
  </si>
  <si>
    <t>SLI</t>
  </si>
  <si>
    <t>ULI</t>
  </si>
  <si>
    <t>PLICA-NonMS</t>
  </si>
  <si>
    <t>PLICA-MS</t>
  </si>
  <si>
    <t>Load</t>
  </si>
  <si>
    <t>Valuation Month</t>
  </si>
  <si>
    <t>XCH Allocation</t>
  </si>
  <si>
    <t>TY 2020</t>
  </si>
  <si>
    <t>TY 2019</t>
  </si>
  <si>
    <t>TY 2021</t>
  </si>
  <si>
    <t>TY 2022</t>
  </si>
  <si>
    <t>TY 2023</t>
  </si>
  <si>
    <t>Pre-HCCUA 2019</t>
  </si>
  <si>
    <t>HCCUA 2022</t>
  </si>
  <si>
    <t>HCCUA 2023</t>
  </si>
  <si>
    <t>HCCUA 2020</t>
  </si>
  <si>
    <t>HCCUA 2021</t>
  </si>
  <si>
    <t>Check</t>
  </si>
  <si>
    <t>TY 2024</t>
  </si>
  <si>
    <t>* We don’t yet have premium data for this block. These are June numbers</t>
  </si>
  <si>
    <t>Claims Liability Reserves -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</si>
</sst>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  <font>
      <b/>
      <sz val="9"/>
      <color theme="1"/>
      <name val="Arial Narrow"/>
      <family val="2"/>
    </font>
    <font>
      <b/>
      <sz val="9"/>
      <color theme="0"/>
      <name val="Aptos Narrow"/>
      <family val="2"/>
    </font>
    <font>
      <sz val="9"/>
      <color theme="3"/>
      <name val="Arial Narrow"/>
      <family val="2"/>
    </font>
    <font>
      <b/>
      <sz val="10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0" fontId="0" fillId="0" borderId="0" xfId="0" applyNumberFormat="1"/>
    <xf numFmtId="10" fontId="5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0" fillId="0" borderId="0" xfId="2" applyNumberFormat="1" applyFon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0" fontId="0" fillId="3" borderId="0" xfId="0" applyNumberFormat="1" applyFill="1"/>
    <xf numFmtId="164" fontId="0" fillId="3" borderId="0" xfId="2" applyNumberFormat="1" applyFont="1" applyFill="1"/>
    <xf numFmtId="17" fontId="0" fillId="0" borderId="0" xfId="0" applyNumberFormat="1"/>
    <xf numFmtId="9" fontId="3" fillId="0" borderId="0" xfId="1" applyFont="1"/>
    <xf numFmtId="0" fontId="3" fillId="0" borderId="2" xfId="0" applyFont="1" applyBorder="1"/>
    <xf numFmtId="0" fontId="2" fillId="0" borderId="0" xfId="0" applyFont="1"/>
    <xf numFmtId="164" fontId="2" fillId="0" borderId="0" xfId="2" applyNumberFormat="1" applyFont="1"/>
    <xf numFmtId="164" fontId="0" fillId="0" borderId="0" xfId="2" applyNumberFormat="1" applyFont="1" applyFill="1"/>
    <xf numFmtId="17" fontId="0" fillId="3" borderId="0" xfId="0" applyNumberFormat="1" applyFill="1"/>
    <xf numFmtId="0" fontId="6" fillId="4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10" fontId="0" fillId="0" borderId="0" xfId="0" applyNumberFormat="1" applyFill="1"/>
    <xf numFmtId="17" fontId="0" fillId="0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oretti\OneDrive%20-%20ARM\Documents\GitHub\DMI_IBNP_v2\Process%20Results\Unified_Claims_Liability_Summary_0.xlsx" TargetMode="External"/><Relationship Id="rId1" Type="http://schemas.openxmlformats.org/officeDocument/2006/relationships/externalLinkPath" Target="Unified_Claims_Liability_Summary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XCH Allocation"/>
    </sheetNames>
    <sheetDataSet>
      <sheetData sheetId="0">
        <row r="2">
          <cell r="B2">
            <v>21969.96455584604</v>
          </cell>
        </row>
        <row r="3">
          <cell r="B3">
            <v>2882.8717706335037</v>
          </cell>
        </row>
        <row r="4">
          <cell r="B4">
            <v>23732.13638883808</v>
          </cell>
        </row>
        <row r="5">
          <cell r="B5">
            <v>243474.73745570186</v>
          </cell>
        </row>
        <row r="6">
          <cell r="B6">
            <v>46271.444131693956</v>
          </cell>
        </row>
        <row r="7">
          <cell r="B7">
            <v>48262.187586012289</v>
          </cell>
        </row>
        <row r="8">
          <cell r="B8">
            <v>76774.229424188496</v>
          </cell>
        </row>
        <row r="9">
          <cell r="B9">
            <v>92251.644638878846</v>
          </cell>
        </row>
        <row r="10">
          <cell r="B10">
            <v>34154.231005837806</v>
          </cell>
        </row>
        <row r="11">
          <cell r="B11">
            <v>89779.634220168809</v>
          </cell>
        </row>
        <row r="12">
          <cell r="B12">
            <v>6635.8738999132283</v>
          </cell>
        </row>
        <row r="13">
          <cell r="B13">
            <v>181112.74629495569</v>
          </cell>
        </row>
        <row r="14">
          <cell r="B14">
            <v>91228.517263440619</v>
          </cell>
        </row>
        <row r="15">
          <cell r="B15">
            <v>37255.531538497045</v>
          </cell>
        </row>
        <row r="16">
          <cell r="B16">
            <v>58620.779807323081</v>
          </cell>
        </row>
      </sheetData>
      <sheetData sheetId="1">
        <row r="4">
          <cell r="C4">
            <v>-2.9214178430414867E-2</v>
          </cell>
          <cell r="D4">
            <v>-2.2989352379745209E-2</v>
          </cell>
          <cell r="E4">
            <v>88.565212250502682</v>
          </cell>
          <cell r="F4">
            <v>7996.2915100419868</v>
          </cell>
          <cell r="G4">
            <v>35853.587799781955</v>
          </cell>
          <cell r="H4">
            <v>309.26691313391859</v>
          </cell>
          <cell r="I4">
            <v>3.2015717429339365</v>
          </cell>
          <cell r="J4">
            <v>147.77809441582488</v>
          </cell>
          <cell r="K4">
            <v>0</v>
          </cell>
          <cell r="L4">
            <v>0</v>
          </cell>
          <cell r="M4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a Oranias" id="{FC6D6499-D49C-4EF0-B72D-3446266526EE}" userId="S::joranias@actrisk.com::f83fb233-9eca-431f-9d3a-a35e583d3cea" providerId="AD"/>
</personList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2" dT="2024-10-10T15:17:37.29" personId="{FC6D6499-D49C-4EF0-B72D-3446266526EE}" id="{FEE7276F-F39D-4233-9473-6D1FFD4DFD91}">
    <text>To be defined by Karl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8D66-6A3A-466E-8973-92ABD33CCFF7}">
  <dimension ref="A2:M26"/>
  <sheetViews>
    <sheetView tabSelected="1" workbookViewId="0">
      <selection activeCell="I15" sqref="I15"/>
    </sheetView>
  </sheetViews>
  <sheetFormatPr defaultColWidth="9.140625" defaultRowHeight="13.2" x14ac:dyDescent="0.3"/>
  <cols>
    <col min="1" max="1" width="16.140625" bestFit="1" customWidth="1"/>
    <col min="2" max="2" width="15.85546875" customWidth="1"/>
    <col min="3" max="3" width="16.85546875" bestFit="1" customWidth="1"/>
    <col min="4" max="4" width="12.140625" customWidth="1"/>
    <col min="5" max="5" width="19.42578125" bestFit="1" customWidth="1"/>
    <col min="6" max="6" width="21.42578125" bestFit="1" customWidth="1"/>
    <col min="7" max="7" width="12.5703125" bestFit="1" customWidth="1"/>
    <col min="8" max="8" width="16.5703125" bestFit="1" customWidth="1"/>
    <col min="9" max="10" width="12.5703125" bestFit="1" customWidth="1"/>
    <col min="11" max="11" width="19.42578125" bestFit="1" customWidth="1"/>
    <col min="12" max="13" width="9.5703125" customWidth="1"/>
  </cols>
  <sheetData>
    <row r="2" spans="1:13" ht="13.8" x14ac:dyDescent="0.3">
      <c r="A2" s="20" t="s">
        <v>37</v>
      </c>
      <c r="B2" s="20"/>
      <c r="C2" s="20"/>
      <c r="D2" s="20"/>
      <c r="E2" s="20"/>
      <c r="F2" s="20"/>
      <c r="G2" s="20"/>
      <c r="H2" s="20"/>
    </row>
    <row r="4" spans="1:13" x14ac:dyDescent="0.3">
      <c r="A4" s="1" t="s">
        <v>0</v>
      </c>
      <c r="B4" s="1" t="s">
        <v>1</v>
      </c>
      <c r="C4" s="1" t="s">
        <v>21</v>
      </c>
      <c r="D4" s="1" t="s">
        <v>2</v>
      </c>
      <c r="E4" s="1" t="s">
        <v>3</v>
      </c>
      <c r="F4" s="1" t="s">
        <v>4</v>
      </c>
      <c r="H4" s="2" t="s">
        <v>22</v>
      </c>
    </row>
    <row r="5" spans="1:13" x14ac:dyDescent="0.3">
      <c r="A5" t="s">
        <v>5</v>
      </c>
      <c r="B5" s="8">
        <f>+[1]Summary!B2</f>
        <v>21969.96455584604</v>
      </c>
      <c r="C5" s="8">
        <f t="shared" ref="C5:C19" si="0">+B5*$C$22</f>
        <v>1098.498227792302</v>
      </c>
      <c r="D5" s="4">
        <v>7.4999999999999997E-2</v>
      </c>
      <c r="E5" s="7">
        <f>+B5*D5</f>
        <v>1647.7473416884529</v>
      </c>
      <c r="F5" s="7">
        <f>+B5+C5+E5</f>
        <v>24716.210125326794</v>
      </c>
      <c r="H5" s="13">
        <v>45839</v>
      </c>
    </row>
    <row r="6" spans="1:13" x14ac:dyDescent="0.3">
      <c r="A6" t="s">
        <v>6</v>
      </c>
      <c r="B6" s="8">
        <f>+[1]Summary!B3</f>
        <v>2882.8717706335037</v>
      </c>
      <c r="C6" s="8">
        <f t="shared" si="0"/>
        <v>144.14358853167519</v>
      </c>
      <c r="D6" s="3">
        <f>+D5</f>
        <v>7.4999999999999997E-2</v>
      </c>
      <c r="E6" s="18">
        <f t="shared" ref="E6:E19" si="1">+B6*D6</f>
        <v>216.21538279751277</v>
      </c>
      <c r="F6" s="18">
        <f t="shared" ref="F6:F19" si="2">+B6+C6+E6</f>
        <v>3243.2307419626914</v>
      </c>
      <c r="H6" s="13">
        <v>45839</v>
      </c>
    </row>
    <row r="7" spans="1:13" x14ac:dyDescent="0.3">
      <c r="A7" t="s">
        <v>15</v>
      </c>
      <c r="B7" s="8">
        <f>+[1]Summary!B4</f>
        <v>23732.13638883808</v>
      </c>
      <c r="C7" s="8">
        <f t="shared" si="0"/>
        <v>1186.606819441904</v>
      </c>
      <c r="D7" s="3">
        <f t="shared" ref="D7:D13" si="3">+D6</f>
        <v>7.4999999999999997E-2</v>
      </c>
      <c r="E7" s="7">
        <f t="shared" si="1"/>
        <v>1779.910229162856</v>
      </c>
      <c r="F7" s="7">
        <f t="shared" si="2"/>
        <v>26698.653437442841</v>
      </c>
      <c r="H7" s="13">
        <v>45839</v>
      </c>
    </row>
    <row r="8" spans="1:13" x14ac:dyDescent="0.3">
      <c r="A8" t="s">
        <v>7</v>
      </c>
      <c r="B8" s="8">
        <f>+[1]Summary!B5</f>
        <v>243474.73745570186</v>
      </c>
      <c r="C8" s="8">
        <f t="shared" si="0"/>
        <v>12173.736872785094</v>
      </c>
      <c r="D8" s="3">
        <f t="shared" si="3"/>
        <v>7.4999999999999997E-2</v>
      </c>
      <c r="E8" s="7">
        <f t="shared" si="1"/>
        <v>18260.605309177638</v>
      </c>
      <c r="F8" s="7">
        <f t="shared" si="2"/>
        <v>273909.0796376646</v>
      </c>
      <c r="H8" s="13">
        <v>45839</v>
      </c>
    </row>
    <row r="9" spans="1:13" x14ac:dyDescent="0.3">
      <c r="A9" t="s">
        <v>8</v>
      </c>
      <c r="B9" s="8">
        <f>+[1]Summary!B6</f>
        <v>46271.444131693956</v>
      </c>
      <c r="C9" s="8">
        <f t="shared" si="0"/>
        <v>2313.5722065846981</v>
      </c>
      <c r="D9" s="3">
        <f t="shared" si="3"/>
        <v>7.4999999999999997E-2</v>
      </c>
      <c r="E9" s="7">
        <f t="shared" si="1"/>
        <v>3470.3583098770464</v>
      </c>
      <c r="F9" s="7">
        <f t="shared" si="2"/>
        <v>52055.374648155703</v>
      </c>
      <c r="H9" s="13">
        <v>45839</v>
      </c>
    </row>
    <row r="10" spans="1:13" x14ac:dyDescent="0.3">
      <c r="A10" t="s">
        <v>9</v>
      </c>
      <c r="B10" s="8">
        <f>+[1]Summary!B7</f>
        <v>48262.187586012289</v>
      </c>
      <c r="C10" s="8">
        <f t="shared" si="0"/>
        <v>2413.1093793006144</v>
      </c>
      <c r="D10" s="3">
        <f t="shared" si="3"/>
        <v>7.4999999999999997E-2</v>
      </c>
      <c r="E10" s="7">
        <f t="shared" si="1"/>
        <v>3619.6640689509218</v>
      </c>
      <c r="F10" s="7">
        <f t="shared" si="2"/>
        <v>54294.961034263826</v>
      </c>
      <c r="H10" s="13">
        <v>45839</v>
      </c>
    </row>
    <row r="11" spans="1:13" x14ac:dyDescent="0.3">
      <c r="A11" t="s">
        <v>10</v>
      </c>
      <c r="B11" s="8">
        <f>+[1]Summary!B8</f>
        <v>76774.229424188496</v>
      </c>
      <c r="C11" s="8">
        <f t="shared" si="0"/>
        <v>3838.7114712094249</v>
      </c>
      <c r="D11" s="3">
        <f t="shared" si="3"/>
        <v>7.4999999999999997E-2</v>
      </c>
      <c r="E11" s="7">
        <f t="shared" si="1"/>
        <v>5758.0672068141366</v>
      </c>
      <c r="F11" s="7">
        <f t="shared" si="2"/>
        <v>86371.008102212058</v>
      </c>
      <c r="H11" s="13">
        <v>45839</v>
      </c>
    </row>
    <row r="12" spans="1:13" x14ac:dyDescent="0.3">
      <c r="A12" s="9" t="s">
        <v>11</v>
      </c>
      <c r="B12" s="10">
        <f>+[1]Summary!B9</f>
        <v>92251.644638878846</v>
      </c>
      <c r="C12" s="10">
        <f t="shared" si="0"/>
        <v>4612.5822319439421</v>
      </c>
      <c r="D12" s="11">
        <f t="shared" si="3"/>
        <v>7.4999999999999997E-2</v>
      </c>
      <c r="E12" s="12">
        <f t="shared" si="1"/>
        <v>6918.8733479159137</v>
      </c>
      <c r="F12" s="12">
        <f t="shared" si="2"/>
        <v>103783.10021873871</v>
      </c>
      <c r="G12" s="9"/>
      <c r="H12" s="19">
        <v>45809</v>
      </c>
      <c r="I12" s="9" t="s">
        <v>36</v>
      </c>
      <c r="J12" s="9"/>
      <c r="K12" s="9"/>
      <c r="L12" s="9"/>
      <c r="M12" s="9"/>
    </row>
    <row r="13" spans="1:13" x14ac:dyDescent="0.3">
      <c r="A13" t="s">
        <v>12</v>
      </c>
      <c r="B13" s="8">
        <f>+[1]Summary!B10</f>
        <v>34154.231005837806</v>
      </c>
      <c r="C13" s="8">
        <f t="shared" si="0"/>
        <v>1707.7115502918905</v>
      </c>
      <c r="D13" s="3">
        <f t="shared" si="3"/>
        <v>7.4999999999999997E-2</v>
      </c>
      <c r="E13" s="18">
        <f t="shared" si="1"/>
        <v>2561.5673254378353</v>
      </c>
      <c r="F13" s="18">
        <f t="shared" si="2"/>
        <v>38423.50988156753</v>
      </c>
      <c r="H13" s="13">
        <v>45839</v>
      </c>
    </row>
    <row r="14" spans="1:13" s="21" customFormat="1" x14ac:dyDescent="0.3">
      <c r="A14" s="21" t="s">
        <v>19</v>
      </c>
      <c r="B14" s="22">
        <f>+[1]Summary!B11</f>
        <v>89779.634220168809</v>
      </c>
      <c r="C14" s="22">
        <f t="shared" si="0"/>
        <v>4488.9817110084405</v>
      </c>
      <c r="D14" s="23">
        <v>0.05</v>
      </c>
      <c r="E14" s="18">
        <f t="shared" si="1"/>
        <v>4488.9817110084405</v>
      </c>
      <c r="F14" s="18">
        <f t="shared" si="2"/>
        <v>98757.59764218569</v>
      </c>
      <c r="H14" s="24">
        <v>45809</v>
      </c>
    </row>
    <row r="15" spans="1:13" s="21" customFormat="1" x14ac:dyDescent="0.3">
      <c r="A15" s="21" t="s">
        <v>20</v>
      </c>
      <c r="B15" s="22">
        <f>+[1]Summary!B12</f>
        <v>6635.8738999132283</v>
      </c>
      <c r="C15" s="22">
        <f t="shared" si="0"/>
        <v>331.79369499566144</v>
      </c>
      <c r="D15" s="23">
        <v>0.05</v>
      </c>
      <c r="E15" s="18">
        <f t="shared" si="1"/>
        <v>331.79369499566144</v>
      </c>
      <c r="F15" s="18">
        <f t="shared" si="2"/>
        <v>7299.4612899045505</v>
      </c>
      <c r="H15" s="24">
        <v>45809</v>
      </c>
    </row>
    <row r="16" spans="1:13" x14ac:dyDescent="0.3">
      <c r="A16" t="s">
        <v>17</v>
      </c>
      <c r="B16" s="8">
        <f>+[1]Summary!B13</f>
        <v>181112.74629495569</v>
      </c>
      <c r="C16" s="8">
        <f t="shared" si="0"/>
        <v>9055.6373147477843</v>
      </c>
      <c r="D16" s="3">
        <f>+D5</f>
        <v>7.4999999999999997E-2</v>
      </c>
      <c r="E16" s="18">
        <f t="shared" si="1"/>
        <v>13583.455972121677</v>
      </c>
      <c r="F16" s="18">
        <f t="shared" si="2"/>
        <v>203751.83958182516</v>
      </c>
      <c r="H16" s="13">
        <v>45839</v>
      </c>
    </row>
    <row r="17" spans="1:13" s="21" customFormat="1" x14ac:dyDescent="0.3">
      <c r="A17" s="21" t="s">
        <v>18</v>
      </c>
      <c r="B17" s="22">
        <f>+[1]Summary!B14</f>
        <v>91228.517263440619</v>
      </c>
      <c r="C17" s="22">
        <f t="shared" si="0"/>
        <v>4561.4258631720313</v>
      </c>
      <c r="D17" s="23">
        <f t="shared" ref="D17:D19" si="4">+D6</f>
        <v>7.4999999999999997E-2</v>
      </c>
      <c r="E17" s="18">
        <f t="shared" si="1"/>
        <v>6842.1387947580461</v>
      </c>
      <c r="F17" s="18">
        <f t="shared" si="2"/>
        <v>102632.0819213707</v>
      </c>
      <c r="H17" s="24">
        <v>45809</v>
      </c>
    </row>
    <row r="18" spans="1:13" x14ac:dyDescent="0.3">
      <c r="A18" t="s">
        <v>13</v>
      </c>
      <c r="B18" s="8">
        <f>+[1]Summary!B15</f>
        <v>37255.531538497045</v>
      </c>
      <c r="C18" s="8">
        <f t="shared" si="0"/>
        <v>1862.7765769248524</v>
      </c>
      <c r="D18" s="3">
        <f t="shared" si="4"/>
        <v>7.4999999999999997E-2</v>
      </c>
      <c r="E18" s="18">
        <f t="shared" si="1"/>
        <v>2794.1648653872785</v>
      </c>
      <c r="F18" s="18">
        <f t="shared" si="2"/>
        <v>41912.472980809172</v>
      </c>
      <c r="H18" s="13">
        <v>45839</v>
      </c>
    </row>
    <row r="19" spans="1:13" x14ac:dyDescent="0.3">
      <c r="A19" s="9" t="s">
        <v>16</v>
      </c>
      <c r="B19" s="10">
        <f>+[1]Summary!B16</f>
        <v>58620.779807323081</v>
      </c>
      <c r="C19" s="10">
        <f t="shared" si="0"/>
        <v>2931.0389903661544</v>
      </c>
      <c r="D19" s="11">
        <f t="shared" si="4"/>
        <v>7.4999999999999997E-2</v>
      </c>
      <c r="E19" s="12">
        <f t="shared" si="1"/>
        <v>4396.5584855492307</v>
      </c>
      <c r="F19" s="12">
        <f t="shared" si="2"/>
        <v>65948.377283238471</v>
      </c>
      <c r="G19" s="9"/>
      <c r="H19" s="19">
        <v>45809</v>
      </c>
      <c r="I19" s="9" t="s">
        <v>36</v>
      </c>
      <c r="J19" s="9"/>
      <c r="K19" s="9"/>
      <c r="L19" s="9"/>
      <c r="M19" s="9"/>
    </row>
    <row r="20" spans="1:13" x14ac:dyDescent="0.3">
      <c r="B20" s="8"/>
      <c r="C20" s="8"/>
    </row>
    <row r="21" spans="1:13" x14ac:dyDescent="0.3">
      <c r="A21" s="5" t="s">
        <v>14</v>
      </c>
      <c r="B21" s="6">
        <f>+SUM(B5:B20)</f>
        <v>1054406.5299819296</v>
      </c>
      <c r="C21" s="6">
        <f>+SUM(C5:C20)</f>
        <v>52720.326499096474</v>
      </c>
      <c r="D21" s="5"/>
      <c r="E21" s="6">
        <f>+SUM(E5:E20)</f>
        <v>76670.102045642663</v>
      </c>
      <c r="F21" s="6">
        <f>+SUM(F5:F20)</f>
        <v>1183796.9585266686</v>
      </c>
    </row>
    <row r="22" spans="1:13" x14ac:dyDescent="0.3">
      <c r="C22" s="14">
        <v>0.05</v>
      </c>
    </row>
    <row r="24" spans="1:13" x14ac:dyDescent="0.3">
      <c r="A24" s="5" t="s">
        <v>23</v>
      </c>
    </row>
    <row r="25" spans="1:13" x14ac:dyDescent="0.3">
      <c r="A25" s="5" t="s">
        <v>24</v>
      </c>
      <c r="B25" s="5" t="s">
        <v>25</v>
      </c>
      <c r="C25" s="5" t="s">
        <v>26</v>
      </c>
      <c r="D25" s="5" t="s">
        <v>27</v>
      </c>
      <c r="E25" s="5" t="s">
        <v>28</v>
      </c>
      <c r="F25" s="5" t="s">
        <v>35</v>
      </c>
      <c r="G25" s="5" t="s">
        <v>29</v>
      </c>
      <c r="H25" s="5" t="s">
        <v>30</v>
      </c>
      <c r="I25" s="5" t="s">
        <v>31</v>
      </c>
      <c r="J25" s="5" t="s">
        <v>32</v>
      </c>
      <c r="K25" s="15" t="s">
        <v>33</v>
      </c>
      <c r="L25" s="16" t="s">
        <v>34</v>
      </c>
    </row>
    <row r="26" spans="1:13" x14ac:dyDescent="0.3">
      <c r="A26" s="7">
        <f>+'[1]XCH Allocation'!C4*(1+$D$19)+'[1]XCH Allocation'!C4*$C$22</f>
        <v>-3.2865950734216727E-2</v>
      </c>
      <c r="B26" s="7">
        <f>+'[1]XCH Allocation'!D4*(1+$D$19)+'[1]XCH Allocation'!D4*$C$22</f>
        <v>-2.5863021427213362E-2</v>
      </c>
      <c r="C26" s="7">
        <f>+'[1]XCH Allocation'!E4*(1+$D$19)+'[1]XCH Allocation'!E4*$C$22</f>
        <v>99.635863781815516</v>
      </c>
      <c r="D26" s="7">
        <f>+'[1]XCH Allocation'!F4*(1+$D$19)+'[1]XCH Allocation'!F4*$C$22</f>
        <v>8995.8279487972359</v>
      </c>
      <c r="E26" s="7">
        <f>+'[1]XCH Allocation'!G4*(1+$D$19)+'[1]XCH Allocation'!G4*$C$22</f>
        <v>40335.286274754697</v>
      </c>
      <c r="F26" s="7">
        <f>+'[1]XCH Allocation'!H4*(1+$D$19)+'[1]XCH Allocation'!H4*$C$22</f>
        <v>347.9252772756584</v>
      </c>
      <c r="G26" s="7">
        <f>+'[1]XCH Allocation'!I4*(1+$D$19)+'[1]XCH Allocation'!I4*$C$22</f>
        <v>3.6017682108006785</v>
      </c>
      <c r="H26" s="7">
        <f>+'[1]XCH Allocation'!J4*(1+$D$19)+'[1]XCH Allocation'!J4*$C$22</f>
        <v>166.25035621780296</v>
      </c>
      <c r="I26" s="7">
        <f>+'[1]XCH Allocation'!K4*(1+$D$19)+'[1]XCH Allocation'!K4*$C$22</f>
        <v>0</v>
      </c>
      <c r="J26" s="7">
        <f>+'[1]XCH Allocation'!L4*(1+$D$19)+'[1]XCH Allocation'!L4*$C$22</f>
        <v>0</v>
      </c>
      <c r="K26" s="7">
        <f>+'[1]XCH Allocation'!M4*(1+$D$19)+'[1]XCH Allocation'!M4*$C$22</f>
        <v>0</v>
      </c>
      <c r="L26" s="17">
        <f>+SUM(B26:K26)-F19</f>
        <v>-15999.875657221892</v>
      </c>
    </row>
  </sheetData>
  <mergeCells count="1">
    <mergeCell ref="A2:H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Oranias</dc:creator>
  <cp:lastModifiedBy>Sofia Moretti</cp:lastModifiedBy>
  <dcterms:created xsi:type="dcterms:W3CDTF">2024-08-16T11:17:23Z</dcterms:created>
  <dcterms:modified xsi:type="dcterms:W3CDTF">2025-08-13T12:40:30Z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{49AD73FB-2191-42B3-A351-5598DE080B02}</vt:lpwstr>
  </property>
</Properties>
</file>