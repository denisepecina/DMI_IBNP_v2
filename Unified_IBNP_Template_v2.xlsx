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Moretti\OneDrive - ARM\Documents\GitHub\DMI_IBNP_v2\"/>
    </mc:Choice>
  </mc:AlternateContent>
  <xr:revisionPtr revIDLastSave="0" documentId="13_ncr:1_{89DF8DD0-91B7-4080-AE45-205379BA32B5}" xr6:coauthVersionLast="47" xr6:coauthVersionMax="47" xr10:uidLastSave="{00000000-0000-0000-0000-000000000000}"/>
  <bookViews>
    <workbookView xWindow="-108" yWindow="-108" windowWidth="23256" windowHeight="12576" activeTab="2" xr2:uid="{78E4E008-1033-4B93-93C2-09E0F288D5FF}"/>
  </bookViews>
  <sheets>
    <sheet name="Completion Factors" sheetId="1" r:id="rId1"/>
    <sheet name="Plot Patterns" sheetId="3" r:id="rId2"/>
    <sheet name="Summary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31" i="2"/>
  <c r="G29" i="2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3" i="3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29" i="1"/>
  <c r="G34" i="2"/>
  <c r="O31" i="2"/>
  <c r="K31" i="2"/>
  <c r="L31" i="2" s="1"/>
  <c r="A31" i="2"/>
  <c r="R31" i="2" s="1"/>
  <c r="O30" i="2"/>
  <c r="K30" i="2"/>
  <c r="L30" i="2" s="1"/>
  <c r="A30" i="2"/>
  <c r="R30" i="2" s="1"/>
  <c r="O29" i="2"/>
  <c r="K29" i="2"/>
  <c r="L29" i="2" s="1"/>
  <c r="A29" i="2"/>
  <c r="R29" i="2" s="1"/>
  <c r="O28" i="2"/>
  <c r="K28" i="2"/>
  <c r="A28" i="2"/>
  <c r="R28" i="2" s="1"/>
  <c r="O27" i="2"/>
  <c r="K27" i="2"/>
  <c r="A27" i="2"/>
  <c r="R27" i="2" s="1"/>
  <c r="O26" i="2"/>
  <c r="K26" i="2"/>
  <c r="A26" i="2"/>
  <c r="R26" i="2" s="1"/>
  <c r="O25" i="2"/>
  <c r="K25" i="2"/>
  <c r="A25" i="2"/>
  <c r="R25" i="2" s="1"/>
  <c r="O24" i="2"/>
  <c r="K24" i="2"/>
  <c r="A24" i="2"/>
  <c r="R24" i="2" s="1"/>
  <c r="O23" i="2"/>
  <c r="K23" i="2"/>
  <c r="A23" i="2"/>
  <c r="R23" i="2" s="1"/>
  <c r="O22" i="2"/>
  <c r="K22" i="2"/>
  <c r="A22" i="2"/>
  <c r="R22" i="2" s="1"/>
  <c r="O21" i="2"/>
  <c r="K21" i="2"/>
  <c r="A21" i="2"/>
  <c r="R21" i="2" s="1"/>
  <c r="O20" i="2"/>
  <c r="K20" i="2"/>
  <c r="A20" i="2"/>
  <c r="R20" i="2" s="1"/>
  <c r="K19" i="2"/>
  <c r="A19" i="2"/>
  <c r="R19" i="2" s="1"/>
  <c r="K18" i="2"/>
  <c r="A18" i="2"/>
  <c r="R18" i="2" s="1"/>
  <c r="K17" i="2"/>
  <c r="A17" i="2"/>
  <c r="R17" i="2" s="1"/>
  <c r="K16" i="2"/>
  <c r="A16" i="2"/>
  <c r="R16" i="2" s="1"/>
  <c r="K15" i="2"/>
  <c r="A15" i="2"/>
  <c r="R15" i="2" s="1"/>
  <c r="K14" i="2"/>
  <c r="A14" i="2"/>
  <c r="R14" i="2" s="1"/>
  <c r="K13" i="2"/>
  <c r="A13" i="2"/>
  <c r="R13" i="2" s="1"/>
  <c r="K12" i="2"/>
  <c r="A12" i="2"/>
  <c r="R12" i="2" s="1"/>
  <c r="K11" i="2"/>
  <c r="A11" i="2"/>
  <c r="R11" i="2" s="1"/>
  <c r="K10" i="2"/>
  <c r="A10" i="2"/>
  <c r="R10" i="2" s="1"/>
  <c r="K9" i="2"/>
  <c r="A9" i="2"/>
  <c r="R9" i="2" s="1"/>
  <c r="K8" i="2"/>
  <c r="A8" i="2"/>
  <c r="R8" i="2" s="1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J30" i="1"/>
  <c r="C8" i="2" s="1"/>
  <c r="D8" i="2" s="1"/>
  <c r="J29" i="1"/>
  <c r="C9" i="2" s="1"/>
  <c r="D9" i="2" s="1"/>
  <c r="J28" i="1"/>
  <c r="C10" i="2" s="1"/>
  <c r="D10" i="2" s="1"/>
  <c r="J27" i="1"/>
  <c r="C11" i="2" s="1"/>
  <c r="D11" i="2" s="1"/>
  <c r="J26" i="1"/>
  <c r="C12" i="2" s="1"/>
  <c r="D12" i="2" s="1"/>
  <c r="J25" i="1"/>
  <c r="C13" i="2" s="1"/>
  <c r="D13" i="2" s="1"/>
  <c r="J24" i="1"/>
  <c r="C14" i="2" s="1"/>
  <c r="D14" i="2" s="1"/>
  <c r="J23" i="1"/>
  <c r="C15" i="2" s="1"/>
  <c r="D15" i="2" s="1"/>
  <c r="J22" i="1"/>
  <c r="C16" i="2" s="1"/>
  <c r="D16" i="2" s="1"/>
  <c r="J21" i="1"/>
  <c r="C17" i="2" s="1"/>
  <c r="D17" i="2" s="1"/>
  <c r="J20" i="1"/>
  <c r="C18" i="2" s="1"/>
  <c r="D18" i="2" s="1"/>
  <c r="J19" i="1"/>
  <c r="C19" i="2" s="1"/>
  <c r="D19" i="2" s="1"/>
  <c r="J18" i="1"/>
  <c r="C20" i="2" s="1"/>
  <c r="D20" i="2" s="1"/>
  <c r="J17" i="1"/>
  <c r="C21" i="2" s="1"/>
  <c r="D21" i="2" s="1"/>
  <c r="J16" i="1"/>
  <c r="C22" i="2" s="1"/>
  <c r="D22" i="2" s="1"/>
  <c r="J15" i="1"/>
  <c r="C23" i="2" s="1"/>
  <c r="D23" i="2" s="1"/>
  <c r="J14" i="1"/>
  <c r="C24" i="2" s="1"/>
  <c r="D24" i="2" s="1"/>
  <c r="J13" i="1"/>
  <c r="C25" i="2" s="1"/>
  <c r="D25" i="2" s="1"/>
  <c r="J12" i="1"/>
  <c r="C26" i="2" s="1"/>
  <c r="D26" i="2" s="1"/>
  <c r="J11" i="1"/>
  <c r="C27" i="2" s="1"/>
  <c r="D27" i="2" s="1"/>
  <c r="J10" i="1"/>
  <c r="C28" i="2" s="1"/>
  <c r="D28" i="2" s="1"/>
  <c r="J9" i="1"/>
  <c r="C29" i="2" s="1"/>
  <c r="D29" i="2" s="1"/>
  <c r="J8" i="1"/>
  <c r="C30" i="2" s="1"/>
  <c r="D30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J7" i="1"/>
  <c r="C31" i="2" l="1"/>
  <c r="D31" i="2" s="1"/>
  <c r="F31" i="2"/>
  <c r="H31" i="2" s="1"/>
  <c r="E31" i="2"/>
  <c r="F30" i="2"/>
  <c r="H30" i="2" s="1"/>
  <c r="E30" i="2"/>
  <c r="F29" i="2"/>
  <c r="H29" i="2" s="1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M19" i="2" l="1"/>
  <c r="J8" i="2"/>
  <c r="L8" i="2" s="1"/>
  <c r="H8" i="2"/>
  <c r="M20" i="2"/>
  <c r="J9" i="2"/>
  <c r="L9" i="2" s="1"/>
  <c r="H9" i="2"/>
  <c r="M21" i="2"/>
  <c r="J10" i="2"/>
  <c r="L10" i="2" s="1"/>
  <c r="H10" i="2"/>
  <c r="M22" i="2"/>
  <c r="J11" i="2"/>
  <c r="L11" i="2" s="1"/>
  <c r="H11" i="2"/>
  <c r="M23" i="2"/>
  <c r="J12" i="2"/>
  <c r="L12" i="2" s="1"/>
  <c r="H12" i="2"/>
  <c r="M24" i="2"/>
  <c r="J13" i="2"/>
  <c r="L13" i="2" s="1"/>
  <c r="H13" i="2"/>
  <c r="M25" i="2"/>
  <c r="J14" i="2"/>
  <c r="L14" i="2" s="1"/>
  <c r="H14" i="2"/>
  <c r="M26" i="2"/>
  <c r="J15" i="2"/>
  <c r="L15" i="2" s="1"/>
  <c r="H15" i="2"/>
  <c r="M27" i="2"/>
  <c r="J16" i="2"/>
  <c r="L16" i="2" s="1"/>
  <c r="H16" i="2"/>
  <c r="M28" i="2"/>
  <c r="J17" i="2"/>
  <c r="H17" i="2"/>
  <c r="M29" i="2"/>
  <c r="J18" i="2"/>
  <c r="H18" i="2"/>
  <c r="M30" i="2"/>
  <c r="J19" i="2"/>
  <c r="H19" i="2"/>
  <c r="J33" i="2"/>
  <c r="M31" i="2"/>
  <c r="J20" i="2"/>
  <c r="H20" i="2"/>
  <c r="J21" i="2"/>
  <c r="H21" i="2"/>
  <c r="J22" i="2"/>
  <c r="H22" i="2"/>
  <c r="J23" i="2"/>
  <c r="H23" i="2"/>
  <c r="J24" i="2"/>
  <c r="H24" i="2"/>
  <c r="J25" i="2"/>
  <c r="H25" i="2"/>
  <c r="J26" i="2"/>
  <c r="H26" i="2"/>
  <c r="J27" i="2"/>
  <c r="H27" i="2"/>
  <c r="J28" i="2"/>
  <c r="H28" i="2"/>
  <c r="N28" i="2" l="1"/>
  <c r="L28" i="2"/>
  <c r="N27" i="2"/>
  <c r="L27" i="2"/>
  <c r="N26" i="2"/>
  <c r="L26" i="2"/>
  <c r="N25" i="2"/>
  <c r="L25" i="2"/>
  <c r="N24" i="2"/>
  <c r="L24" i="2"/>
  <c r="N23" i="2"/>
  <c r="L23" i="2"/>
  <c r="N22" i="2"/>
  <c r="L22" i="2"/>
  <c r="N21" i="2"/>
  <c r="L21" i="2"/>
  <c r="N20" i="2"/>
  <c r="L20" i="2"/>
  <c r="N31" i="2"/>
  <c r="L19" i="2"/>
  <c r="N30" i="2"/>
  <c r="L18" i="2"/>
  <c r="N29" i="2"/>
  <c r="L17" i="2"/>
  <c r="H33" i="2"/>
  <c r="H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Krebs</author>
  </authors>
  <commentList>
    <comment ref="C8" authorId="0" shapeId="0" xr:uid="{CEE37DBE-C375-4935-9C50-4AEE2260CCB9}">
      <text>
        <r>
          <rPr>
            <b/>
            <sz val="9"/>
            <color indexed="81"/>
            <rFont val="Tahoma"/>
            <family val="2"/>
          </rPr>
          <t>Kevin Krebs:</t>
        </r>
        <r>
          <rPr>
            <sz val="9"/>
            <color indexed="81"/>
            <rFont val="Tahoma"/>
            <family val="2"/>
          </rPr>
          <t xml:space="preserve">
These are December 2017 factors. One policy had 57K in claims that skews the numbers. I spoke to Wendy, and she does not expect more claims on this policy.
</t>
        </r>
        <r>
          <rPr>
            <b/>
            <sz val="9"/>
            <color indexed="81"/>
            <rFont val="Tahoma"/>
            <family val="2"/>
          </rPr>
          <t xml:space="preserve">Teng:
</t>
        </r>
        <r>
          <rPr>
            <sz val="9"/>
            <color indexed="81"/>
            <rFont val="Tahoma"/>
            <family val="2"/>
          </rPr>
          <t>Changed back to normal completion factors starting 3Q19.</t>
        </r>
      </text>
    </comment>
  </commentList>
</comments>
</file>

<file path=xl/sharedStrings.xml><?xml version="1.0" encoding="utf-8"?>
<sst xmlns="http://schemas.openxmlformats.org/spreadsheetml/2006/main" count="134" uniqueCount="62">
  <si>
    <t>Paid Percentages</t>
  </si>
  <si>
    <t xml:space="preserve"> </t>
  </si>
  <si>
    <t>3 month</t>
  </si>
  <si>
    <t>6 month</t>
  </si>
  <si>
    <t>12 month</t>
  </si>
  <si>
    <t xml:space="preserve">  Cumulative</t>
  </si>
  <si>
    <t>MONTH</t>
  </si>
  <si>
    <t>3-month</t>
  </si>
  <si>
    <t>6-month</t>
  </si>
  <si>
    <t>12-month</t>
  </si>
  <si>
    <t>Cumulat</t>
  </si>
  <si>
    <t>average</t>
  </si>
  <si>
    <t xml:space="preserve">    Pd Pct</t>
  </si>
  <si>
    <t>OF LAG</t>
  </si>
  <si>
    <t>Pd Pct</t>
  </si>
  <si>
    <t>used</t>
  </si>
  <si>
    <t>---------</t>
  </si>
  <si>
    <t>----------</t>
  </si>
  <si>
    <t>LINK RATIOS</t>
  </si>
  <si>
    <t>Accident</t>
  </si>
  <si>
    <t>Month</t>
  </si>
  <si>
    <t>Month of Lag</t>
  </si>
  <si>
    <t xml:space="preserve">      ------</t>
  </si>
  <si>
    <t>---</t>
  </si>
  <si>
    <t>Raw</t>
  </si>
  <si>
    <t>Total</t>
  </si>
  <si>
    <t>Adjustment</t>
  </si>
  <si>
    <t>Projected</t>
  </si>
  <si>
    <t>LOSS RATIO</t>
  </si>
  <si>
    <t>Incurral</t>
  </si>
  <si>
    <t xml:space="preserve">Claims </t>
  </si>
  <si>
    <t>Paid %</t>
  </si>
  <si>
    <t>Claim</t>
  </si>
  <si>
    <t>to Claim</t>
  </si>
  <si>
    <t>Incurred</t>
  </si>
  <si>
    <t>Latest</t>
  </si>
  <si>
    <t>Paid</t>
  </si>
  <si>
    <t>(Cum)</t>
  </si>
  <si>
    <t>Liability</t>
  </si>
  <si>
    <t>Claims</t>
  </si>
  <si>
    <t>Premiums</t>
  </si>
  <si>
    <t>less Pd</t>
  </si>
  <si>
    <t>12 Mos.</t>
  </si>
  <si>
    <t>Paid Month</t>
  </si>
  <si>
    <t xml:space="preserve">Paid </t>
  </si>
  <si>
    <t>-----</t>
  </si>
  <si>
    <t>----</t>
  </si>
  <si>
    <t>--------</t>
  </si>
  <si>
    <t>-------</t>
  </si>
  <si>
    <t>Incurral Month</t>
  </si>
  <si>
    <t xml:space="preserve">   --------------</t>
  </si>
  <si>
    <t>Selected</t>
  </si>
  <si>
    <t>Volume All</t>
  </si>
  <si>
    <t>Volume 12</t>
  </si>
  <si>
    <t>Volume 6</t>
  </si>
  <si>
    <t>Volume 3</t>
  </si>
  <si>
    <t>Simple All</t>
  </si>
  <si>
    <t>Simple 12</t>
  </si>
  <si>
    <t>Simple 6</t>
  </si>
  <si>
    <t>Simple 3</t>
  </si>
  <si>
    <t>Cumulative Development</t>
  </si>
  <si>
    <t>Incremental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</si>
</sst>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3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14" fontId="3" fillId="0" borderId="0" xfId="0" applyNumberFormat="1" applyFont="1"/>
    <xf numFmtId="0" fontId="0" fillId="0" borderId="0" xfId="0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43" fontId="1" fillId="0" borderId="0" xfId="1" applyFont="1"/>
    <xf numFmtId="43" fontId="1" fillId="0" borderId="0" xfId="1" applyFont="1" applyFill="1"/>
    <xf numFmtId="43" fontId="1" fillId="0" borderId="5" xfId="1" applyFont="1" applyBorder="1"/>
    <xf numFmtId="0" fontId="0" fillId="0" borderId="0" xfId="0" applyAlignment="1">
      <alignment horizontal="left"/>
    </xf>
    <xf numFmtId="14" fontId="0" fillId="0" borderId="0" xfId="0" applyNumberFormat="1"/>
    <xf numFmtId="43" fontId="0" fillId="0" borderId="0" xfId="1" applyFont="1"/>
    <xf numFmtId="9" fontId="1" fillId="0" borderId="0" xfId="2" applyFont="1"/>
    <xf numFmtId="43" fontId="4" fillId="2" borderId="0" xfId="1" applyFont="1" applyFill="1"/>
    <xf numFmtId="166" fontId="1" fillId="0" borderId="0" xfId="1" applyNumberFormat="1" applyFont="1"/>
    <xf numFmtId="43" fontId="0" fillId="0" borderId="0" xfId="1" applyFont="1" applyFill="1"/>
    <xf numFmtId="0" fontId="0" fillId="0" borderId="5" xfId="0" applyBorder="1"/>
    <xf numFmtId="167" fontId="1" fillId="0" borderId="0" xfId="2" applyNumberFormat="1" applyFont="1"/>
    <xf numFmtId="43" fontId="0" fillId="0" borderId="0" xfId="0" applyNumberFormat="1"/>
    <xf numFmtId="10" fontId="4" fillId="0" borderId="5" xfId="2" applyNumberFormat="1" applyFont="1" applyBorder="1"/>
    <xf numFmtId="43" fontId="1" fillId="0" borderId="6" xfId="1" applyFont="1" applyBorder="1"/>
    <xf numFmtId="43" fontId="5" fillId="0" borderId="6" xfId="1" applyFont="1" applyBorder="1"/>
    <xf numFmtId="10" fontId="0" fillId="0" borderId="0" xfId="2" applyNumberFormat="1" applyFont="1"/>
    <xf numFmtId="168" fontId="6" fillId="0" borderId="0" xfId="1" applyNumberFormat="1" applyFont="1" applyFill="1"/>
    <xf numFmtId="168" fontId="0" fillId="0" borderId="0" xfId="1" applyNumberFormat="1" applyFont="1"/>
    <xf numFmtId="168" fontId="0" fillId="0" borderId="0" xfId="0" applyNumberFormat="1"/>
    <xf numFmtId="0" fontId="9" fillId="0" borderId="0" xfId="0" applyFont="1"/>
    <xf numFmtId="9" fontId="0" fillId="0" borderId="0" xfId="2" applyFont="1"/>
    <xf numFmtId="0" fontId="9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'Plot Patterns'!$B$1</c:f>
              <c:strCache>
                <c:ptCount val="1"/>
                <c:pt idx="0">
                  <c:v>Volume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Patterns'!$B$2:$B$24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9-47DE-AC5F-6DFC6BAD62FB}"/>
            </c:ext>
          </c:extLst>
        </c:ser>
        <c:ser>
          <c:idx val="2"/>
          <c:order val="1"/>
          <c:tx>
            <c:strRef>
              <c:f>'Plot Patterns'!$C$1</c:f>
              <c:strCache>
                <c:ptCount val="1"/>
                <c:pt idx="0">
                  <c:v>Volume 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Patterns'!$C$2:$C$24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09-47DE-AC5F-6DFC6BAD62FB}"/>
            </c:ext>
          </c:extLst>
        </c:ser>
        <c:ser>
          <c:idx val="3"/>
          <c:order val="2"/>
          <c:tx>
            <c:strRef>
              <c:f>'Plot Patterns'!$D$1</c:f>
              <c:strCache>
                <c:ptCount val="1"/>
                <c:pt idx="0">
                  <c:v>Volume 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Patterns'!$D$2:$D$24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09-47DE-AC5F-6DFC6BAD62FB}"/>
            </c:ext>
          </c:extLst>
        </c:ser>
        <c:ser>
          <c:idx val="4"/>
          <c:order val="3"/>
          <c:tx>
            <c:strRef>
              <c:f>'Plot Patterns'!$E$1</c:f>
              <c:strCache>
                <c:ptCount val="1"/>
                <c:pt idx="0">
                  <c:v>Volume 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Patterns'!$E$2:$E$24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09-47DE-AC5F-6DFC6BAD62FB}"/>
            </c:ext>
          </c:extLst>
        </c:ser>
        <c:ser>
          <c:idx val="5"/>
          <c:order val="4"/>
          <c:tx>
            <c:strRef>
              <c:f>'Plot Patterns'!$F$1</c:f>
              <c:strCache>
                <c:ptCount val="1"/>
                <c:pt idx="0">
                  <c:v>Simple All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Patterns'!$F$2:$F$24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09-47DE-AC5F-6DFC6BAD62FB}"/>
            </c:ext>
          </c:extLst>
        </c:ser>
        <c:ser>
          <c:idx val="6"/>
          <c:order val="5"/>
          <c:tx>
            <c:strRef>
              <c:f>'Plot Patterns'!$G$1</c:f>
              <c:strCache>
                <c:ptCount val="1"/>
                <c:pt idx="0">
                  <c:v>Simple 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Patterns'!$G$2:$G$24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09-47DE-AC5F-6DFC6BAD62FB}"/>
            </c:ext>
          </c:extLst>
        </c:ser>
        <c:ser>
          <c:idx val="7"/>
          <c:order val="6"/>
          <c:tx>
            <c:strRef>
              <c:f>'Plot Patterns'!$H$1</c:f>
              <c:strCache>
                <c:ptCount val="1"/>
                <c:pt idx="0">
                  <c:v>Simple 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Patterns'!$H$2:$H$24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09-47DE-AC5F-6DFC6BAD62FB}"/>
            </c:ext>
          </c:extLst>
        </c:ser>
        <c:ser>
          <c:idx val="8"/>
          <c:order val="7"/>
          <c:tx>
            <c:strRef>
              <c:f>'Plot Patterns'!$I$1</c:f>
              <c:strCache>
                <c:ptCount val="1"/>
                <c:pt idx="0">
                  <c:v>Simple 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Patterns'!$I$2:$I$24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09-47DE-AC5F-6DFC6BAD62FB}"/>
            </c:ext>
          </c:extLst>
        </c:ser>
        <c:ser>
          <c:idx val="9"/>
          <c:order val="8"/>
          <c:tx>
            <c:strRef>
              <c:f>'Plot Patterns'!$J$1</c:f>
              <c:strCache>
                <c:ptCount val="1"/>
                <c:pt idx="0">
                  <c:v>Selected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'Plot Patterns'!$A$2:$A$24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Patterns'!$J$2:$J$24</c:f>
              <c:numCache>
                <c:formatCode>0%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909-47DE-AC5F-6DFC6BAD6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587632"/>
        <c:axId val="1346584272"/>
      </c:lineChart>
      <c:catAx>
        <c:axId val="134658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84272"/>
        <c:crosses val="autoZero"/>
        <c:auto val="1"/>
        <c:lblAlgn val="ctr"/>
        <c:lblOffset val="100"/>
        <c:noMultiLvlLbl val="0"/>
      </c:catAx>
      <c:valAx>
        <c:axId val="13465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8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'Plot Patterns'!$N$1</c:f>
              <c:strCache>
                <c:ptCount val="1"/>
                <c:pt idx="0">
                  <c:v>Volume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Patterns'!$N$2:$N$24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A-44C8-81CB-98925460A453}"/>
            </c:ext>
          </c:extLst>
        </c:ser>
        <c:ser>
          <c:idx val="2"/>
          <c:order val="1"/>
          <c:tx>
            <c:strRef>
              <c:f>'Plot Patterns'!$O$1</c:f>
              <c:strCache>
                <c:ptCount val="1"/>
                <c:pt idx="0">
                  <c:v>Volume 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Patterns'!$O$2:$O$24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A-44C8-81CB-98925460A453}"/>
            </c:ext>
          </c:extLst>
        </c:ser>
        <c:ser>
          <c:idx val="3"/>
          <c:order val="2"/>
          <c:tx>
            <c:strRef>
              <c:f>'Plot Patterns'!$P$1</c:f>
              <c:strCache>
                <c:ptCount val="1"/>
                <c:pt idx="0">
                  <c:v>Volume 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Patterns'!$P$2:$P$24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4A-44C8-81CB-98925460A453}"/>
            </c:ext>
          </c:extLst>
        </c:ser>
        <c:ser>
          <c:idx val="4"/>
          <c:order val="3"/>
          <c:tx>
            <c:strRef>
              <c:f>'Plot Patterns'!$Q$1</c:f>
              <c:strCache>
                <c:ptCount val="1"/>
                <c:pt idx="0">
                  <c:v>Volume 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Patterns'!$Q$2:$Q$24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4A-44C8-81CB-98925460A453}"/>
            </c:ext>
          </c:extLst>
        </c:ser>
        <c:ser>
          <c:idx val="5"/>
          <c:order val="4"/>
          <c:tx>
            <c:strRef>
              <c:f>'Plot Patterns'!$R$1</c:f>
              <c:strCache>
                <c:ptCount val="1"/>
                <c:pt idx="0">
                  <c:v>Simple All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Patterns'!$R$2:$R$24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4A-44C8-81CB-98925460A453}"/>
            </c:ext>
          </c:extLst>
        </c:ser>
        <c:ser>
          <c:idx val="6"/>
          <c:order val="5"/>
          <c:tx>
            <c:strRef>
              <c:f>'Plot Patterns'!$S$1</c:f>
              <c:strCache>
                <c:ptCount val="1"/>
                <c:pt idx="0">
                  <c:v>Simple 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Patterns'!$S$2:$S$24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4A-44C8-81CB-98925460A453}"/>
            </c:ext>
          </c:extLst>
        </c:ser>
        <c:ser>
          <c:idx val="7"/>
          <c:order val="6"/>
          <c:tx>
            <c:strRef>
              <c:f>'Plot Patterns'!$T$1</c:f>
              <c:strCache>
                <c:ptCount val="1"/>
                <c:pt idx="0">
                  <c:v>Simple 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Patterns'!$T$2:$T$24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4A-44C8-81CB-98925460A453}"/>
            </c:ext>
          </c:extLst>
        </c:ser>
        <c:ser>
          <c:idx val="8"/>
          <c:order val="7"/>
          <c:tx>
            <c:strRef>
              <c:f>'Plot Patterns'!$U$1</c:f>
              <c:strCache>
                <c:ptCount val="1"/>
                <c:pt idx="0">
                  <c:v>Simple 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Patterns'!$U$2:$U$24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4A-44C8-81CB-98925460A453}"/>
            </c:ext>
          </c:extLst>
        </c:ser>
        <c:ser>
          <c:idx val="9"/>
          <c:order val="8"/>
          <c:tx>
            <c:strRef>
              <c:f>'Plot Patterns'!$V$1</c:f>
              <c:strCache>
                <c:ptCount val="1"/>
                <c:pt idx="0">
                  <c:v>Selected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'Plot Patterns'!$M$2:$M$24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'Plot Patterns'!$V$2:$V$24</c:f>
              <c:numCache>
                <c:formatCode>_(* #,##0.00_);_(* \(#,##0.00\);_(* "-"??_);_(@_)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4A-44C8-81CB-98925460A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587632"/>
        <c:axId val="1346584272"/>
      </c:lineChart>
      <c:catAx>
        <c:axId val="134658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84272"/>
        <c:crosses val="autoZero"/>
        <c:auto val="1"/>
        <c:lblAlgn val="ctr"/>
        <c:lblOffset val="100"/>
        <c:noMultiLvlLbl val="0"/>
      </c:catAx>
      <c:valAx>
        <c:axId val="13465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8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25</xdr:row>
      <xdr:rowOff>20638</xdr:rowOff>
    </xdr:from>
    <xdr:to>
      <xdr:col>9</xdr:col>
      <xdr:colOff>714375</xdr:colOff>
      <xdr:row>50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9875B-A3C5-4A18-EC3D-A785F0212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590550</xdr:colOff>
      <xdr:row>24</xdr:row>
      <xdr:rowOff>76200</xdr:rowOff>
    </xdr:from>
    <xdr:to>
      <xdr:col>25</xdr:col>
      <xdr:colOff>73025</xdr:colOff>
      <xdr:row>49</xdr:row>
      <xdr:rowOff>169863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386781-2DEA-4258-9C79-1DDBBB2DB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1FD9-7FAA-4558-B0D0-CDB4EEE37652}">
  <dimension ref="A1:X60"/>
  <sheetViews>
    <sheetView workbookViewId="0">
      <selection activeCell="H5" sqref="H5"/>
    </sheetView>
  </sheetViews>
  <sheetFormatPr defaultRowHeight="14.4" x14ac:dyDescent="0.3"/>
  <cols>
    <col min="1" max="1" width="13.44140625" bestFit="1" customWidth="1"/>
    <col min="2" max="2" width="22" bestFit="1" customWidth="1"/>
    <col min="3" max="3" width="12.77734375" bestFit="1" customWidth="1"/>
    <col min="4" max="4" width="12.77734375" customWidth="1"/>
    <col min="5" max="5" width="12.77734375" bestFit="1" customWidth="1"/>
    <col min="6" max="7" width="12.77734375" customWidth="1"/>
    <col min="8" max="8" width="11.21875" customWidth="1"/>
    <col min="9" max="10" width="13.77734375" bestFit="1" customWidth="1"/>
    <col min="11" max="11" width="11.44140625" bestFit="1" customWidth="1"/>
    <col min="12" max="12" width="13.5546875" bestFit="1" customWidth="1"/>
    <col min="13" max="14" width="11.44140625" bestFit="1" customWidth="1"/>
    <col min="15" max="19" width="12.77734375" bestFit="1" customWidth="1"/>
    <col min="20" max="27" width="11.44140625" bestFit="1" customWidth="1"/>
  </cols>
  <sheetData>
    <row r="1" spans="1:10" ht="15.6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5.6" x14ac:dyDescent="0.3">
      <c r="A2" s="1"/>
      <c r="B2" s="2"/>
      <c r="C2" s="1"/>
      <c r="D2" s="1"/>
      <c r="E2" s="1"/>
      <c r="F2" s="1"/>
      <c r="G2" s="1"/>
      <c r="H2" s="1"/>
      <c r="I2" s="2" t="s">
        <v>1</v>
      </c>
      <c r="J2" s="2" t="s">
        <v>1</v>
      </c>
    </row>
    <row r="3" spans="1:10" ht="15.6" x14ac:dyDescent="0.3">
      <c r="A3" s="3"/>
      <c r="B3" s="3" t="s">
        <v>1</v>
      </c>
      <c r="C3" s="3"/>
      <c r="D3" s="3"/>
      <c r="E3" s="3" t="s">
        <v>2</v>
      </c>
      <c r="F3" s="3" t="s">
        <v>3</v>
      </c>
      <c r="G3" s="3" t="s">
        <v>4</v>
      </c>
      <c r="H3" s="3"/>
      <c r="I3" s="3" t="s">
        <v>51</v>
      </c>
      <c r="J3" s="3" t="s">
        <v>5</v>
      </c>
    </row>
    <row r="4" spans="1:10" ht="15.6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10</v>
      </c>
      <c r="G4" s="3" t="s">
        <v>10</v>
      </c>
      <c r="H4" s="3" t="s">
        <v>51</v>
      </c>
      <c r="I4" s="3" t="s">
        <v>5</v>
      </c>
      <c r="J4" s="3" t="s">
        <v>12</v>
      </c>
    </row>
    <row r="5" spans="1:10" ht="15.6" x14ac:dyDescent="0.3">
      <c r="A5" s="3" t="s">
        <v>13</v>
      </c>
      <c r="B5" s="3" t="s">
        <v>11</v>
      </c>
      <c r="C5" s="3" t="s">
        <v>11</v>
      </c>
      <c r="D5" s="3" t="s">
        <v>11</v>
      </c>
      <c r="E5" s="3" t="s">
        <v>14</v>
      </c>
      <c r="F5" s="3" t="s">
        <v>14</v>
      </c>
      <c r="G5" s="3" t="s">
        <v>14</v>
      </c>
      <c r="H5" s="3"/>
      <c r="I5" s="3" t="s">
        <v>12</v>
      </c>
      <c r="J5" s="3" t="s">
        <v>15</v>
      </c>
    </row>
    <row r="6" spans="1:10" ht="15.6" x14ac:dyDescent="0.3">
      <c r="A6" s="3" t="s">
        <v>16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</row>
    <row r="7" spans="1:10" ht="15.6" x14ac:dyDescent="0.3">
      <c r="A7" s="3">
        <v>0</v>
      </c>
      <c r="B7" s="4" t="e">
        <f t="shared" ref="B7:D28" si="0">+E7/E8</f>
        <v>#DIV/0!</v>
      </c>
      <c r="C7" s="4" t="e">
        <f t="shared" si="0"/>
        <v>#DIV/0!</v>
      </c>
      <c r="D7" s="4" t="e">
        <f t="shared" si="0"/>
        <v>#DIV/0!</v>
      </c>
      <c r="E7" s="5"/>
      <c r="F7" s="5"/>
      <c r="G7" s="5"/>
      <c r="H7" s="4" t="e">
        <f>+I7/I8</f>
        <v>#DIV/0!</v>
      </c>
      <c r="I7" s="5"/>
      <c r="J7" s="5">
        <f>I7</f>
        <v>0</v>
      </c>
    </row>
    <row r="8" spans="1:10" ht="15.6" x14ac:dyDescent="0.3">
      <c r="A8" s="3">
        <f t="shared" ref="A8:A29" si="1">1+A7</f>
        <v>1</v>
      </c>
      <c r="B8" s="4" t="e">
        <f t="shared" si="0"/>
        <v>#DIV/0!</v>
      </c>
      <c r="C8" s="4" t="e">
        <f t="shared" si="0"/>
        <v>#DIV/0!</v>
      </c>
      <c r="D8" s="4" t="e">
        <f t="shared" si="0"/>
        <v>#DIV/0!</v>
      </c>
      <c r="E8" s="5"/>
      <c r="F8" s="5"/>
      <c r="G8" s="5"/>
      <c r="H8" s="4" t="e">
        <f t="shared" ref="H8:H29" si="2">+I8/I9</f>
        <v>#DIV/0!</v>
      </c>
      <c r="I8" s="5"/>
      <c r="J8" s="5">
        <f t="shared" ref="J8:J30" si="3">I8</f>
        <v>0</v>
      </c>
    </row>
    <row r="9" spans="1:10" ht="15.6" x14ac:dyDescent="0.3">
      <c r="A9" s="3">
        <f t="shared" si="1"/>
        <v>2</v>
      </c>
      <c r="B9" s="4" t="e">
        <f t="shared" si="0"/>
        <v>#DIV/0!</v>
      </c>
      <c r="C9" s="4" t="e">
        <f t="shared" si="0"/>
        <v>#DIV/0!</v>
      </c>
      <c r="D9" s="4" t="e">
        <f t="shared" si="0"/>
        <v>#DIV/0!</v>
      </c>
      <c r="E9" s="5"/>
      <c r="F9" s="5"/>
      <c r="G9" s="5"/>
      <c r="H9" s="4" t="e">
        <f t="shared" si="2"/>
        <v>#DIV/0!</v>
      </c>
      <c r="I9" s="5"/>
      <c r="J9" s="5">
        <f t="shared" si="3"/>
        <v>0</v>
      </c>
    </row>
    <row r="10" spans="1:10" ht="15.6" x14ac:dyDescent="0.3">
      <c r="A10" s="3">
        <f t="shared" si="1"/>
        <v>3</v>
      </c>
      <c r="B10" s="4" t="e">
        <f t="shared" si="0"/>
        <v>#DIV/0!</v>
      </c>
      <c r="C10" s="4" t="e">
        <f t="shared" si="0"/>
        <v>#DIV/0!</v>
      </c>
      <c r="D10" s="4" t="e">
        <f t="shared" si="0"/>
        <v>#DIV/0!</v>
      </c>
      <c r="E10" s="5"/>
      <c r="F10" s="5"/>
      <c r="G10" s="5"/>
      <c r="H10" s="4" t="e">
        <f t="shared" si="2"/>
        <v>#DIV/0!</v>
      </c>
      <c r="I10" s="5"/>
      <c r="J10" s="5">
        <f t="shared" si="3"/>
        <v>0</v>
      </c>
    </row>
    <row r="11" spans="1:10" ht="15.6" x14ac:dyDescent="0.3">
      <c r="A11" s="3">
        <f t="shared" si="1"/>
        <v>4</v>
      </c>
      <c r="B11" s="4" t="e">
        <f t="shared" si="0"/>
        <v>#DIV/0!</v>
      </c>
      <c r="C11" s="4" t="e">
        <f t="shared" si="0"/>
        <v>#DIV/0!</v>
      </c>
      <c r="D11" s="4" t="e">
        <f t="shared" si="0"/>
        <v>#DIV/0!</v>
      </c>
      <c r="E11" s="5"/>
      <c r="F11" s="5"/>
      <c r="G11" s="5"/>
      <c r="H11" s="4" t="e">
        <f t="shared" si="2"/>
        <v>#DIV/0!</v>
      </c>
      <c r="I11" s="5"/>
      <c r="J11" s="5">
        <f t="shared" si="3"/>
        <v>0</v>
      </c>
    </row>
    <row r="12" spans="1:10" ht="15.6" x14ac:dyDescent="0.3">
      <c r="A12" s="3">
        <f t="shared" si="1"/>
        <v>5</v>
      </c>
      <c r="B12" s="4" t="e">
        <f t="shared" si="0"/>
        <v>#DIV/0!</v>
      </c>
      <c r="C12" s="4" t="e">
        <f t="shared" si="0"/>
        <v>#DIV/0!</v>
      </c>
      <c r="D12" s="4" t="e">
        <f t="shared" si="0"/>
        <v>#DIV/0!</v>
      </c>
      <c r="E12" s="5"/>
      <c r="F12" s="5"/>
      <c r="G12" s="5"/>
      <c r="H12" s="4" t="e">
        <f t="shared" si="2"/>
        <v>#DIV/0!</v>
      </c>
      <c r="I12" s="5"/>
      <c r="J12" s="5">
        <f t="shared" si="3"/>
        <v>0</v>
      </c>
    </row>
    <row r="13" spans="1:10" ht="15.6" x14ac:dyDescent="0.3">
      <c r="A13" s="3">
        <f t="shared" si="1"/>
        <v>6</v>
      </c>
      <c r="B13" s="4" t="e">
        <f t="shared" si="0"/>
        <v>#DIV/0!</v>
      </c>
      <c r="C13" s="4" t="e">
        <f t="shared" si="0"/>
        <v>#DIV/0!</v>
      </c>
      <c r="D13" s="4" t="e">
        <f t="shared" si="0"/>
        <v>#DIV/0!</v>
      </c>
      <c r="E13" s="5"/>
      <c r="F13" s="5"/>
      <c r="G13" s="5"/>
      <c r="H13" s="4" t="e">
        <f t="shared" si="2"/>
        <v>#DIV/0!</v>
      </c>
      <c r="I13" s="5"/>
      <c r="J13" s="5">
        <f t="shared" si="3"/>
        <v>0</v>
      </c>
    </row>
    <row r="14" spans="1:10" ht="15.6" x14ac:dyDescent="0.3">
      <c r="A14" s="3">
        <f t="shared" si="1"/>
        <v>7</v>
      </c>
      <c r="B14" s="4" t="e">
        <f t="shared" si="0"/>
        <v>#DIV/0!</v>
      </c>
      <c r="C14" s="4" t="e">
        <f t="shared" si="0"/>
        <v>#DIV/0!</v>
      </c>
      <c r="D14" s="4" t="e">
        <f t="shared" si="0"/>
        <v>#DIV/0!</v>
      </c>
      <c r="E14" s="5"/>
      <c r="F14" s="5"/>
      <c r="G14" s="5"/>
      <c r="H14" s="4" t="e">
        <f t="shared" si="2"/>
        <v>#DIV/0!</v>
      </c>
      <c r="I14" s="5"/>
      <c r="J14" s="5">
        <f t="shared" si="3"/>
        <v>0</v>
      </c>
    </row>
    <row r="15" spans="1:10" ht="15.6" x14ac:dyDescent="0.3">
      <c r="A15" s="3">
        <f t="shared" si="1"/>
        <v>8</v>
      </c>
      <c r="B15" s="4" t="e">
        <f t="shared" si="0"/>
        <v>#DIV/0!</v>
      </c>
      <c r="C15" s="4" t="e">
        <f t="shared" si="0"/>
        <v>#DIV/0!</v>
      </c>
      <c r="D15" s="4" t="e">
        <f t="shared" si="0"/>
        <v>#DIV/0!</v>
      </c>
      <c r="E15" s="5"/>
      <c r="F15" s="5"/>
      <c r="G15" s="5"/>
      <c r="H15" s="4" t="e">
        <f t="shared" si="2"/>
        <v>#DIV/0!</v>
      </c>
      <c r="I15" s="5"/>
      <c r="J15" s="5">
        <f t="shared" si="3"/>
        <v>0</v>
      </c>
    </row>
    <row r="16" spans="1:10" ht="15.6" x14ac:dyDescent="0.3">
      <c r="A16" s="3">
        <f t="shared" si="1"/>
        <v>9</v>
      </c>
      <c r="B16" s="4" t="e">
        <f t="shared" si="0"/>
        <v>#DIV/0!</v>
      </c>
      <c r="C16" s="4" t="e">
        <f t="shared" si="0"/>
        <v>#DIV/0!</v>
      </c>
      <c r="D16" s="4" t="e">
        <f t="shared" si="0"/>
        <v>#DIV/0!</v>
      </c>
      <c r="E16" s="5"/>
      <c r="F16" s="5"/>
      <c r="G16" s="5"/>
      <c r="H16" s="4" t="e">
        <f t="shared" si="2"/>
        <v>#DIV/0!</v>
      </c>
      <c r="I16" s="5"/>
      <c r="J16" s="5">
        <f t="shared" si="3"/>
        <v>0</v>
      </c>
    </row>
    <row r="17" spans="1:10" ht="15.6" x14ac:dyDescent="0.3">
      <c r="A17" s="3">
        <f t="shared" si="1"/>
        <v>10</v>
      </c>
      <c r="B17" s="4" t="e">
        <f t="shared" si="0"/>
        <v>#DIV/0!</v>
      </c>
      <c r="C17" s="4" t="e">
        <f t="shared" si="0"/>
        <v>#DIV/0!</v>
      </c>
      <c r="D17" s="4" t="e">
        <f t="shared" si="0"/>
        <v>#DIV/0!</v>
      </c>
      <c r="E17" s="5"/>
      <c r="F17" s="5"/>
      <c r="G17" s="5"/>
      <c r="H17" s="4" t="e">
        <f t="shared" si="2"/>
        <v>#DIV/0!</v>
      </c>
      <c r="I17" s="5"/>
      <c r="J17" s="5">
        <f t="shared" si="3"/>
        <v>0</v>
      </c>
    </row>
    <row r="18" spans="1:10" ht="15.6" x14ac:dyDescent="0.3">
      <c r="A18" s="3">
        <f t="shared" si="1"/>
        <v>11</v>
      </c>
      <c r="B18" s="4" t="e">
        <f t="shared" si="0"/>
        <v>#DIV/0!</v>
      </c>
      <c r="C18" s="4" t="e">
        <f t="shared" si="0"/>
        <v>#DIV/0!</v>
      </c>
      <c r="D18" s="4" t="e">
        <f t="shared" si="0"/>
        <v>#DIV/0!</v>
      </c>
      <c r="E18" s="5"/>
      <c r="F18" s="5"/>
      <c r="G18" s="5"/>
      <c r="H18" s="4" t="e">
        <f t="shared" si="2"/>
        <v>#DIV/0!</v>
      </c>
      <c r="I18" s="5"/>
      <c r="J18" s="5">
        <f t="shared" si="3"/>
        <v>0</v>
      </c>
    </row>
    <row r="19" spans="1:10" ht="15.6" x14ac:dyDescent="0.3">
      <c r="A19" s="3">
        <f t="shared" si="1"/>
        <v>12</v>
      </c>
      <c r="B19" s="4" t="e">
        <f t="shared" si="0"/>
        <v>#DIV/0!</v>
      </c>
      <c r="C19" s="4" t="e">
        <f t="shared" si="0"/>
        <v>#DIV/0!</v>
      </c>
      <c r="D19" s="4" t="e">
        <f t="shared" si="0"/>
        <v>#DIV/0!</v>
      </c>
      <c r="E19" s="5"/>
      <c r="F19" s="5"/>
      <c r="G19" s="5"/>
      <c r="H19" s="4" t="e">
        <f t="shared" si="2"/>
        <v>#DIV/0!</v>
      </c>
      <c r="I19" s="5"/>
      <c r="J19" s="5">
        <f t="shared" si="3"/>
        <v>0</v>
      </c>
    </row>
    <row r="20" spans="1:10" ht="15.6" x14ac:dyDescent="0.3">
      <c r="A20" s="3">
        <f t="shared" si="1"/>
        <v>13</v>
      </c>
      <c r="B20" s="4" t="e">
        <f t="shared" si="0"/>
        <v>#DIV/0!</v>
      </c>
      <c r="C20" s="4" t="e">
        <f t="shared" si="0"/>
        <v>#DIV/0!</v>
      </c>
      <c r="D20" s="4" t="e">
        <f t="shared" si="0"/>
        <v>#DIV/0!</v>
      </c>
      <c r="E20" s="5"/>
      <c r="F20" s="5"/>
      <c r="G20" s="5"/>
      <c r="H20" s="4" t="e">
        <f t="shared" si="2"/>
        <v>#DIV/0!</v>
      </c>
      <c r="I20" s="5"/>
      <c r="J20" s="5">
        <f t="shared" si="3"/>
        <v>0</v>
      </c>
    </row>
    <row r="21" spans="1:10" ht="15.6" x14ac:dyDescent="0.3">
      <c r="A21" s="3">
        <f t="shared" si="1"/>
        <v>14</v>
      </c>
      <c r="B21" s="4" t="e">
        <f t="shared" si="0"/>
        <v>#DIV/0!</v>
      </c>
      <c r="C21" s="4" t="e">
        <f t="shared" si="0"/>
        <v>#DIV/0!</v>
      </c>
      <c r="D21" s="4" t="e">
        <f t="shared" si="0"/>
        <v>#DIV/0!</v>
      </c>
      <c r="E21" s="5"/>
      <c r="F21" s="5"/>
      <c r="G21" s="5"/>
      <c r="H21" s="4" t="e">
        <f t="shared" si="2"/>
        <v>#DIV/0!</v>
      </c>
      <c r="I21" s="5"/>
      <c r="J21" s="5">
        <f t="shared" si="3"/>
        <v>0</v>
      </c>
    </row>
    <row r="22" spans="1:10" ht="15.6" x14ac:dyDescent="0.3">
      <c r="A22" s="3">
        <f t="shared" si="1"/>
        <v>15</v>
      </c>
      <c r="B22" s="4" t="e">
        <f t="shared" si="0"/>
        <v>#DIV/0!</v>
      </c>
      <c r="C22" s="4" t="e">
        <f t="shared" si="0"/>
        <v>#DIV/0!</v>
      </c>
      <c r="D22" s="4" t="e">
        <f t="shared" si="0"/>
        <v>#DIV/0!</v>
      </c>
      <c r="E22" s="5"/>
      <c r="F22" s="5"/>
      <c r="G22" s="5"/>
      <c r="H22" s="4" t="e">
        <f t="shared" si="2"/>
        <v>#DIV/0!</v>
      </c>
      <c r="I22" s="5"/>
      <c r="J22" s="5">
        <f t="shared" si="3"/>
        <v>0</v>
      </c>
    </row>
    <row r="23" spans="1:10" ht="15.6" x14ac:dyDescent="0.3">
      <c r="A23" s="3">
        <f t="shared" si="1"/>
        <v>16</v>
      </c>
      <c r="B23" s="4" t="e">
        <f t="shared" si="0"/>
        <v>#DIV/0!</v>
      </c>
      <c r="C23" s="4" t="e">
        <f t="shared" si="0"/>
        <v>#DIV/0!</v>
      </c>
      <c r="D23" s="4" t="e">
        <f t="shared" si="0"/>
        <v>#DIV/0!</v>
      </c>
      <c r="E23" s="5"/>
      <c r="F23" s="5"/>
      <c r="G23" s="5"/>
      <c r="H23" s="4" t="e">
        <f t="shared" si="2"/>
        <v>#DIV/0!</v>
      </c>
      <c r="I23" s="5"/>
      <c r="J23" s="5">
        <f t="shared" si="3"/>
        <v>0</v>
      </c>
    </row>
    <row r="24" spans="1:10" ht="15.6" x14ac:dyDescent="0.3">
      <c r="A24" s="3">
        <f t="shared" si="1"/>
        <v>17</v>
      </c>
      <c r="B24" s="4" t="e">
        <f t="shared" si="0"/>
        <v>#DIV/0!</v>
      </c>
      <c r="C24" s="4" t="e">
        <f t="shared" si="0"/>
        <v>#DIV/0!</v>
      </c>
      <c r="D24" s="4" t="e">
        <f t="shared" si="0"/>
        <v>#DIV/0!</v>
      </c>
      <c r="E24" s="5"/>
      <c r="F24" s="5"/>
      <c r="G24" s="5"/>
      <c r="H24" s="4" t="e">
        <f t="shared" si="2"/>
        <v>#DIV/0!</v>
      </c>
      <c r="I24" s="5"/>
      <c r="J24" s="5">
        <f t="shared" si="3"/>
        <v>0</v>
      </c>
    </row>
    <row r="25" spans="1:10" ht="15.6" x14ac:dyDescent="0.3">
      <c r="A25" s="3">
        <f t="shared" si="1"/>
        <v>18</v>
      </c>
      <c r="B25" s="4" t="e">
        <f t="shared" si="0"/>
        <v>#DIV/0!</v>
      </c>
      <c r="C25" s="4" t="e">
        <f t="shared" si="0"/>
        <v>#DIV/0!</v>
      </c>
      <c r="D25" s="4" t="e">
        <f t="shared" si="0"/>
        <v>#DIV/0!</v>
      </c>
      <c r="E25" s="5"/>
      <c r="F25" s="5"/>
      <c r="G25" s="5"/>
      <c r="H25" s="4" t="e">
        <f t="shared" si="2"/>
        <v>#DIV/0!</v>
      </c>
      <c r="I25" s="5"/>
      <c r="J25" s="5">
        <f t="shared" si="3"/>
        <v>0</v>
      </c>
    </row>
    <row r="26" spans="1:10" ht="15.6" x14ac:dyDescent="0.3">
      <c r="A26" s="3">
        <f t="shared" si="1"/>
        <v>19</v>
      </c>
      <c r="B26" s="4" t="e">
        <f t="shared" si="0"/>
        <v>#DIV/0!</v>
      </c>
      <c r="C26" s="4" t="e">
        <f t="shared" si="0"/>
        <v>#DIV/0!</v>
      </c>
      <c r="D26" s="4" t="e">
        <f t="shared" si="0"/>
        <v>#DIV/0!</v>
      </c>
      <c r="E26" s="5"/>
      <c r="F26" s="5"/>
      <c r="G26" s="5"/>
      <c r="H26" s="4" t="e">
        <f t="shared" si="2"/>
        <v>#DIV/0!</v>
      </c>
      <c r="I26" s="5"/>
      <c r="J26" s="5">
        <f t="shared" si="3"/>
        <v>0</v>
      </c>
    </row>
    <row r="27" spans="1:10" ht="15.6" x14ac:dyDescent="0.3">
      <c r="A27" s="3">
        <f t="shared" si="1"/>
        <v>20</v>
      </c>
      <c r="B27" s="4" t="e">
        <f t="shared" si="0"/>
        <v>#DIV/0!</v>
      </c>
      <c r="C27" s="4" t="e">
        <f t="shared" si="0"/>
        <v>#DIV/0!</v>
      </c>
      <c r="D27" s="4" t="e">
        <f t="shared" si="0"/>
        <v>#DIV/0!</v>
      </c>
      <c r="E27" s="5"/>
      <c r="F27" s="5"/>
      <c r="G27" s="5"/>
      <c r="H27" s="4" t="e">
        <f t="shared" si="2"/>
        <v>#DIV/0!</v>
      </c>
      <c r="I27" s="5"/>
      <c r="J27" s="5">
        <f t="shared" si="3"/>
        <v>0</v>
      </c>
    </row>
    <row r="28" spans="1:10" ht="15.6" x14ac:dyDescent="0.3">
      <c r="A28" s="3">
        <f t="shared" si="1"/>
        <v>21</v>
      </c>
      <c r="B28" s="4" t="e">
        <f t="shared" si="0"/>
        <v>#DIV/0!</v>
      </c>
      <c r="C28" s="4" t="e">
        <f t="shared" si="0"/>
        <v>#DIV/0!</v>
      </c>
      <c r="D28" s="4" t="e">
        <f t="shared" si="0"/>
        <v>#DIV/0!</v>
      </c>
      <c r="E28" s="5"/>
      <c r="F28" s="5"/>
      <c r="G28" s="5"/>
      <c r="H28" s="4" t="e">
        <f t="shared" si="2"/>
        <v>#DIV/0!</v>
      </c>
      <c r="I28" s="5"/>
      <c r="J28" s="5">
        <f t="shared" si="3"/>
        <v>0</v>
      </c>
    </row>
    <row r="29" spans="1:10" ht="15.6" x14ac:dyDescent="0.3">
      <c r="A29" s="3">
        <f t="shared" si="1"/>
        <v>22</v>
      </c>
      <c r="B29" s="4">
        <f>+E29/E30</f>
        <v>0</v>
      </c>
      <c r="C29" s="4">
        <f>+F29/F30</f>
        <v>0</v>
      </c>
      <c r="D29" s="4">
        <f>+G29/G30</f>
        <v>0</v>
      </c>
      <c r="E29" s="5"/>
      <c r="F29" s="5"/>
      <c r="G29" s="5"/>
      <c r="H29" s="4">
        <f t="shared" si="2"/>
        <v>0</v>
      </c>
      <c r="I29" s="5"/>
      <c r="J29" s="5">
        <f t="shared" si="3"/>
        <v>0</v>
      </c>
    </row>
    <row r="30" spans="1:10" ht="15.6" x14ac:dyDescent="0.3">
      <c r="A30" s="3">
        <v>23</v>
      </c>
      <c r="B30" s="4">
        <v>1</v>
      </c>
      <c r="C30" s="4">
        <v>1</v>
      </c>
      <c r="D30" s="4">
        <v>1</v>
      </c>
      <c r="E30" s="5">
        <v>1</v>
      </c>
      <c r="F30" s="5">
        <v>1</v>
      </c>
      <c r="G30" s="5">
        <v>1</v>
      </c>
      <c r="H30" s="4">
        <v>1</v>
      </c>
      <c r="I30" s="5">
        <v>1</v>
      </c>
      <c r="J30" s="5">
        <f t="shared" si="3"/>
        <v>1</v>
      </c>
    </row>
    <row r="34" spans="1:24" ht="15.6" x14ac:dyDescent="0.3">
      <c r="A34" s="1"/>
      <c r="B34" s="1"/>
      <c r="C34" s="1"/>
      <c r="D34" s="1"/>
      <c r="E34" s="2" t="s">
        <v>18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4" ht="15.6" x14ac:dyDescent="0.3">
      <c r="A35" s="3" t="s">
        <v>19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4" ht="15.6" x14ac:dyDescent="0.3">
      <c r="A36" s="3" t="s">
        <v>20</v>
      </c>
      <c r="B36" s="6" t="s">
        <v>21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6" x14ac:dyDescent="0.3">
      <c r="A37" s="2" t="s">
        <v>22</v>
      </c>
      <c r="B37" s="3" t="s">
        <v>23</v>
      </c>
      <c r="C37" s="3" t="s">
        <v>23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  <c r="T37" s="3" t="s">
        <v>23</v>
      </c>
      <c r="U37" s="3" t="s">
        <v>23</v>
      </c>
      <c r="V37" s="3" t="s">
        <v>23</v>
      </c>
      <c r="W37" s="3" t="s">
        <v>23</v>
      </c>
      <c r="X37" s="3" t="s">
        <v>23</v>
      </c>
    </row>
    <row r="38" spans="1:24" ht="15.6" x14ac:dyDescent="0.3">
      <c r="A38" s="1">
        <v>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6" x14ac:dyDescent="0.3">
      <c r="A39" s="1">
        <f t="shared" ref="A39:A60" si="4">1+A38</f>
        <v>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6" x14ac:dyDescent="0.3">
      <c r="A40" s="1">
        <f t="shared" si="4"/>
        <v>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4" ht="15.6" x14ac:dyDescent="0.3">
      <c r="A41" s="1">
        <f t="shared" si="4"/>
        <v>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4" ht="15.6" x14ac:dyDescent="0.3">
      <c r="A42" s="1">
        <f t="shared" si="4"/>
        <v>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4" ht="15.6" x14ac:dyDescent="0.3">
      <c r="A43" s="1">
        <f t="shared" si="4"/>
        <v>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U43" s="4"/>
      <c r="V43" s="4"/>
    </row>
    <row r="44" spans="1:24" ht="15.6" x14ac:dyDescent="0.3">
      <c r="A44" s="1">
        <f t="shared" si="4"/>
        <v>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T44" s="4"/>
      <c r="U44" s="4"/>
      <c r="V44" s="4"/>
    </row>
    <row r="45" spans="1:24" ht="15.6" x14ac:dyDescent="0.3">
      <c r="A45" s="1">
        <f t="shared" si="4"/>
        <v>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4" ht="15.6" x14ac:dyDescent="0.3">
      <c r="A46" s="1">
        <f t="shared" si="4"/>
        <v>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4" ht="15.6" x14ac:dyDescent="0.3">
      <c r="A47" s="1">
        <f t="shared" si="4"/>
        <v>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Q47" s="4"/>
      <c r="R47" s="4"/>
      <c r="S47" s="4"/>
      <c r="T47" s="4"/>
      <c r="U47" s="4"/>
      <c r="V47" s="4"/>
    </row>
    <row r="48" spans="1:24" ht="15.6" x14ac:dyDescent="0.3">
      <c r="A48" s="1">
        <f t="shared" si="4"/>
        <v>10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R48" s="4"/>
      <c r="S48" s="4"/>
      <c r="T48" s="4"/>
      <c r="U48" s="4"/>
      <c r="V48" s="4"/>
    </row>
    <row r="49" spans="1:22" ht="15.6" x14ac:dyDescent="0.3">
      <c r="A49" s="1">
        <f t="shared" si="4"/>
        <v>11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T49" s="4"/>
      <c r="U49" s="4"/>
      <c r="V49" s="4"/>
    </row>
    <row r="50" spans="1:22" ht="15.6" x14ac:dyDescent="0.3">
      <c r="A50" s="1">
        <f t="shared" si="4"/>
        <v>12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U50" s="4"/>
      <c r="V50" s="4"/>
    </row>
    <row r="51" spans="1:22" ht="15.6" x14ac:dyDescent="0.3">
      <c r="A51" s="1">
        <f t="shared" si="4"/>
        <v>13</v>
      </c>
      <c r="B51" s="4"/>
      <c r="C51" s="4"/>
      <c r="D51" s="4"/>
      <c r="E51" s="4"/>
      <c r="F51" s="4"/>
      <c r="G51" s="4"/>
      <c r="H51" s="4"/>
      <c r="I51" s="4"/>
      <c r="J51" s="4"/>
      <c r="K51" s="4"/>
      <c r="U51" s="4"/>
      <c r="V51" s="4"/>
    </row>
    <row r="52" spans="1:22" ht="15.6" x14ac:dyDescent="0.3">
      <c r="A52" s="1">
        <f t="shared" si="4"/>
        <v>14</v>
      </c>
      <c r="B52" s="4"/>
      <c r="C52" s="4"/>
      <c r="D52" s="4"/>
      <c r="E52" s="4"/>
      <c r="F52" s="4"/>
      <c r="G52" s="4"/>
      <c r="H52" s="4"/>
      <c r="I52" s="4"/>
      <c r="J52" s="4"/>
      <c r="V52" s="4"/>
    </row>
    <row r="53" spans="1:22" ht="15.6" x14ac:dyDescent="0.3">
      <c r="A53" s="1">
        <f t="shared" si="4"/>
        <v>15</v>
      </c>
      <c r="B53" s="4"/>
      <c r="C53" s="4"/>
      <c r="D53" s="4"/>
      <c r="E53" s="4"/>
      <c r="F53" s="4"/>
      <c r="G53" s="4"/>
      <c r="H53" s="4"/>
      <c r="I53" s="4"/>
    </row>
    <row r="54" spans="1:22" ht="15.6" x14ac:dyDescent="0.3">
      <c r="A54" s="1">
        <f t="shared" si="4"/>
        <v>16</v>
      </c>
      <c r="B54" s="4"/>
      <c r="C54" s="4"/>
      <c r="D54" s="4"/>
      <c r="E54" s="4"/>
      <c r="F54" s="4"/>
      <c r="G54" s="4"/>
      <c r="H54" s="4"/>
    </row>
    <row r="55" spans="1:22" ht="15.6" x14ac:dyDescent="0.3">
      <c r="A55" s="1">
        <f t="shared" si="4"/>
        <v>17</v>
      </c>
      <c r="B55" s="4"/>
      <c r="C55" s="4"/>
      <c r="D55" s="4"/>
      <c r="E55" s="4"/>
      <c r="F55" s="4"/>
      <c r="G55" s="4"/>
    </row>
    <row r="56" spans="1:22" ht="15.6" x14ac:dyDescent="0.3">
      <c r="A56" s="1">
        <f t="shared" si="4"/>
        <v>18</v>
      </c>
      <c r="B56" s="4"/>
      <c r="C56" s="4"/>
      <c r="D56" s="4"/>
      <c r="E56" s="4"/>
      <c r="F56" s="4"/>
    </row>
    <row r="57" spans="1:22" ht="15.6" x14ac:dyDescent="0.3">
      <c r="A57" s="1">
        <f t="shared" si="4"/>
        <v>19</v>
      </c>
      <c r="B57" s="4"/>
      <c r="C57" s="4"/>
      <c r="D57" s="4"/>
      <c r="E57" s="4"/>
    </row>
    <row r="58" spans="1:22" ht="15.6" x14ac:dyDescent="0.3">
      <c r="A58" s="1">
        <f t="shared" si="4"/>
        <v>20</v>
      </c>
      <c r="B58" s="4"/>
      <c r="C58" s="4"/>
      <c r="D58" s="4"/>
    </row>
    <row r="59" spans="1:22" ht="15.6" x14ac:dyDescent="0.3">
      <c r="A59" s="1">
        <f t="shared" si="4"/>
        <v>21</v>
      </c>
      <c r="B59" s="4"/>
      <c r="C59" s="4"/>
    </row>
    <row r="60" spans="1:22" ht="15.6" x14ac:dyDescent="0.3">
      <c r="A60" s="1">
        <f t="shared" si="4"/>
        <v>22</v>
      </c>
      <c r="B60" s="4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1FFD-C2DF-4B67-A547-73CD78BEAF38}">
  <dimension ref="A1:AA24"/>
  <sheetViews>
    <sheetView workbookViewId="0">
      <selection activeCell="N2" sqref="N2"/>
    </sheetView>
  </sheetViews>
  <sheetFormatPr defaultRowHeight="14.4" x14ac:dyDescent="0.3"/>
  <cols>
    <col min="1" max="1" width="19.109375" bestFit="1" customWidth="1"/>
    <col min="2" max="10" width="11.77734375" bestFit="1" customWidth="1"/>
    <col min="11" max="11" width="8.77734375" customWidth="1"/>
    <col min="12" max="12" width="4.77734375" customWidth="1"/>
    <col min="13" max="13" width="11.6640625" customWidth="1"/>
    <col min="14" max="14" width="10.109375" bestFit="1" customWidth="1"/>
    <col min="15" max="15" width="9.77734375" bestFit="1" customWidth="1"/>
    <col min="16" max="17" width="8.77734375" bestFit="1" customWidth="1"/>
    <col min="18" max="18" width="9.5546875" bestFit="1" customWidth="1"/>
    <col min="19" max="19" width="9.21875" bestFit="1" customWidth="1"/>
    <col min="20" max="21" width="8.21875" bestFit="1" customWidth="1"/>
    <col min="22" max="22" width="8.5546875" bestFit="1" customWidth="1"/>
    <col min="23" max="23" width="9.5546875" bestFit="1" customWidth="1"/>
    <col min="24" max="24" width="9.21875" bestFit="1" customWidth="1"/>
    <col min="25" max="26" width="8.21875" bestFit="1" customWidth="1"/>
    <col min="27" max="27" width="8.5546875" bestFit="1" customWidth="1"/>
  </cols>
  <sheetData>
    <row r="1" spans="1:27" ht="28.8" x14ac:dyDescent="0.3">
      <c r="A1" s="35" t="s">
        <v>60</v>
      </c>
      <c r="B1" s="33" t="s">
        <v>52</v>
      </c>
      <c r="C1" s="33" t="s">
        <v>53</v>
      </c>
      <c r="D1" s="33" t="s">
        <v>54</v>
      </c>
      <c r="E1" s="33" t="s">
        <v>55</v>
      </c>
      <c r="F1" s="33" t="s">
        <v>56</v>
      </c>
      <c r="G1" s="33" t="s">
        <v>57</v>
      </c>
      <c r="H1" s="33" t="s">
        <v>58</v>
      </c>
      <c r="I1" s="33" t="s">
        <v>59</v>
      </c>
      <c r="J1" s="33" t="s">
        <v>51</v>
      </c>
      <c r="M1" s="35" t="s">
        <v>61</v>
      </c>
      <c r="N1" s="33" t="s">
        <v>52</v>
      </c>
      <c r="O1" s="33" t="s">
        <v>53</v>
      </c>
      <c r="P1" s="33" t="s">
        <v>54</v>
      </c>
      <c r="Q1" s="33" t="s">
        <v>55</v>
      </c>
      <c r="R1" s="33" t="s">
        <v>56</v>
      </c>
      <c r="S1" s="33" t="s">
        <v>57</v>
      </c>
      <c r="T1" s="33" t="s">
        <v>58</v>
      </c>
      <c r="U1" s="33" t="s">
        <v>59</v>
      </c>
      <c r="V1" s="33" t="s">
        <v>51</v>
      </c>
      <c r="W1" s="33"/>
      <c r="X1" s="33"/>
      <c r="Y1" s="33"/>
      <c r="Z1" s="33"/>
      <c r="AA1" s="33"/>
    </row>
    <row r="2" spans="1:27" x14ac:dyDescent="0.3">
      <c r="A2" s="33">
        <v>1</v>
      </c>
      <c r="B2" s="34"/>
      <c r="C2" s="34"/>
      <c r="D2" s="34"/>
      <c r="E2" s="34"/>
      <c r="F2" s="34"/>
      <c r="G2" s="34"/>
      <c r="H2" s="34"/>
      <c r="I2" s="34"/>
      <c r="J2" s="34"/>
      <c r="M2" s="33">
        <v>1</v>
      </c>
      <c r="N2" s="18"/>
      <c r="O2" s="18"/>
      <c r="P2" s="18"/>
      <c r="Q2" s="18"/>
      <c r="R2" s="18"/>
      <c r="S2" s="18"/>
      <c r="T2" s="18"/>
      <c r="U2" s="18"/>
      <c r="V2" s="18"/>
    </row>
    <row r="3" spans="1:27" x14ac:dyDescent="0.3">
      <c r="A3">
        <f>+A2+1</f>
        <v>2</v>
      </c>
      <c r="B3" s="34"/>
      <c r="C3" s="34"/>
      <c r="D3" s="34"/>
      <c r="E3" s="34"/>
      <c r="F3" s="34"/>
      <c r="G3" s="34"/>
      <c r="H3" s="34"/>
      <c r="I3" s="34"/>
      <c r="J3" s="34"/>
      <c r="M3">
        <f>+M2+1</f>
        <v>2</v>
      </c>
      <c r="N3" s="18"/>
      <c r="O3" s="18"/>
      <c r="P3" s="18"/>
      <c r="Q3" s="18"/>
      <c r="R3" s="18"/>
      <c r="S3" s="18"/>
      <c r="T3" s="18"/>
      <c r="U3" s="18"/>
      <c r="V3" s="18"/>
    </row>
    <row r="4" spans="1:27" x14ac:dyDescent="0.3">
      <c r="A4">
        <f t="shared" ref="A4:A24" si="0">+A3+1</f>
        <v>3</v>
      </c>
      <c r="B4" s="34"/>
      <c r="C4" s="34"/>
      <c r="D4" s="34"/>
      <c r="E4" s="34"/>
      <c r="F4" s="34"/>
      <c r="G4" s="34"/>
      <c r="H4" s="34"/>
      <c r="I4" s="34"/>
      <c r="J4" s="34"/>
      <c r="M4">
        <f t="shared" ref="M4:M24" si="1">+M3+1</f>
        <v>3</v>
      </c>
      <c r="N4" s="18"/>
      <c r="O4" s="18"/>
      <c r="P4" s="18"/>
      <c r="Q4" s="18"/>
      <c r="R4" s="18"/>
      <c r="S4" s="18"/>
      <c r="T4" s="18"/>
      <c r="U4" s="18"/>
      <c r="V4" s="18"/>
    </row>
    <row r="5" spans="1:27" x14ac:dyDescent="0.3">
      <c r="A5">
        <f t="shared" si="0"/>
        <v>4</v>
      </c>
      <c r="B5" s="34"/>
      <c r="C5" s="34"/>
      <c r="D5" s="34"/>
      <c r="E5" s="34"/>
      <c r="F5" s="34"/>
      <c r="G5" s="34"/>
      <c r="H5" s="34"/>
      <c r="I5" s="34"/>
      <c r="J5" s="34"/>
      <c r="M5">
        <f t="shared" si="1"/>
        <v>4</v>
      </c>
      <c r="N5" s="18"/>
      <c r="O5" s="18"/>
      <c r="P5" s="18"/>
      <c r="Q5" s="18"/>
      <c r="R5" s="18"/>
      <c r="S5" s="18"/>
      <c r="T5" s="18"/>
      <c r="U5" s="18"/>
      <c r="V5" s="18"/>
    </row>
    <row r="6" spans="1:27" x14ac:dyDescent="0.3">
      <c r="A6">
        <f t="shared" si="0"/>
        <v>5</v>
      </c>
      <c r="B6" s="34"/>
      <c r="C6" s="34"/>
      <c r="D6" s="34"/>
      <c r="E6" s="34"/>
      <c r="F6" s="34"/>
      <c r="G6" s="34"/>
      <c r="H6" s="34"/>
      <c r="I6" s="34"/>
      <c r="J6" s="34"/>
      <c r="M6">
        <f t="shared" si="1"/>
        <v>5</v>
      </c>
      <c r="N6" s="18"/>
      <c r="O6" s="18"/>
      <c r="P6" s="18"/>
      <c r="Q6" s="18"/>
      <c r="R6" s="18"/>
      <c r="S6" s="18"/>
      <c r="T6" s="18"/>
      <c r="U6" s="18"/>
      <c r="V6" s="18"/>
    </row>
    <row r="7" spans="1:27" x14ac:dyDescent="0.3">
      <c r="A7">
        <f t="shared" si="0"/>
        <v>6</v>
      </c>
      <c r="B7" s="34"/>
      <c r="C7" s="34"/>
      <c r="D7" s="34"/>
      <c r="E7" s="34"/>
      <c r="F7" s="34"/>
      <c r="G7" s="34"/>
      <c r="H7" s="34"/>
      <c r="I7" s="34"/>
      <c r="J7" s="34"/>
      <c r="M7">
        <f t="shared" si="1"/>
        <v>6</v>
      </c>
      <c r="N7" s="18"/>
      <c r="O7" s="18"/>
      <c r="P7" s="18"/>
      <c r="Q7" s="18"/>
      <c r="R7" s="18"/>
      <c r="S7" s="18"/>
      <c r="T7" s="18"/>
      <c r="U7" s="18"/>
      <c r="V7" s="18"/>
    </row>
    <row r="8" spans="1:27" x14ac:dyDescent="0.3">
      <c r="A8">
        <f t="shared" si="0"/>
        <v>7</v>
      </c>
      <c r="B8" s="34"/>
      <c r="C8" s="34"/>
      <c r="D8" s="34"/>
      <c r="E8" s="34"/>
      <c r="F8" s="34"/>
      <c r="G8" s="34"/>
      <c r="H8" s="34"/>
      <c r="I8" s="34"/>
      <c r="J8" s="34"/>
      <c r="M8">
        <f t="shared" si="1"/>
        <v>7</v>
      </c>
      <c r="N8" s="18"/>
      <c r="O8" s="18"/>
      <c r="P8" s="18"/>
      <c r="Q8" s="18"/>
      <c r="R8" s="18"/>
      <c r="S8" s="18"/>
      <c r="T8" s="18"/>
      <c r="U8" s="18"/>
      <c r="V8" s="18"/>
    </row>
    <row r="9" spans="1:27" x14ac:dyDescent="0.3">
      <c r="A9">
        <f t="shared" si="0"/>
        <v>8</v>
      </c>
      <c r="B9" s="34"/>
      <c r="C9" s="34"/>
      <c r="D9" s="34"/>
      <c r="E9" s="34"/>
      <c r="F9" s="34"/>
      <c r="G9" s="34"/>
      <c r="H9" s="34"/>
      <c r="I9" s="34"/>
      <c r="J9" s="34"/>
      <c r="M9">
        <f t="shared" si="1"/>
        <v>8</v>
      </c>
      <c r="N9" s="18"/>
      <c r="O9" s="18"/>
      <c r="P9" s="18"/>
      <c r="Q9" s="18"/>
      <c r="R9" s="18"/>
      <c r="S9" s="18"/>
      <c r="T9" s="18"/>
      <c r="U9" s="18"/>
      <c r="V9" s="18"/>
    </row>
    <row r="10" spans="1:27" x14ac:dyDescent="0.3">
      <c r="A10">
        <f t="shared" si="0"/>
        <v>9</v>
      </c>
      <c r="B10" s="34"/>
      <c r="C10" s="34"/>
      <c r="D10" s="34"/>
      <c r="E10" s="34"/>
      <c r="F10" s="34"/>
      <c r="G10" s="34"/>
      <c r="H10" s="34"/>
      <c r="I10" s="34"/>
      <c r="J10" s="34"/>
      <c r="M10">
        <f t="shared" si="1"/>
        <v>9</v>
      </c>
      <c r="N10" s="18"/>
      <c r="O10" s="18"/>
      <c r="P10" s="18"/>
      <c r="Q10" s="18"/>
      <c r="R10" s="18"/>
      <c r="S10" s="18"/>
      <c r="T10" s="18"/>
      <c r="U10" s="18"/>
      <c r="V10" s="18"/>
    </row>
    <row r="11" spans="1:27" x14ac:dyDescent="0.3">
      <c r="A11">
        <f t="shared" si="0"/>
        <v>10</v>
      </c>
      <c r="B11" s="34"/>
      <c r="C11" s="34"/>
      <c r="D11" s="34"/>
      <c r="E11" s="34"/>
      <c r="F11" s="34"/>
      <c r="G11" s="34"/>
      <c r="H11" s="34"/>
      <c r="I11" s="34"/>
      <c r="J11" s="34"/>
      <c r="M11">
        <f t="shared" si="1"/>
        <v>10</v>
      </c>
      <c r="N11" s="18"/>
      <c r="O11" s="18"/>
      <c r="P11" s="18"/>
      <c r="Q11" s="18"/>
      <c r="R11" s="18"/>
      <c r="S11" s="18"/>
      <c r="T11" s="18"/>
      <c r="U11" s="18"/>
      <c r="V11" s="18"/>
    </row>
    <row r="12" spans="1:27" x14ac:dyDescent="0.3">
      <c r="A12">
        <f t="shared" si="0"/>
        <v>11</v>
      </c>
      <c r="B12" s="34"/>
      <c r="C12" s="34"/>
      <c r="D12" s="34"/>
      <c r="E12" s="34"/>
      <c r="F12" s="34"/>
      <c r="G12" s="34"/>
      <c r="H12" s="34"/>
      <c r="I12" s="34"/>
      <c r="J12" s="34"/>
      <c r="M12">
        <f t="shared" si="1"/>
        <v>11</v>
      </c>
      <c r="N12" s="18"/>
      <c r="O12" s="18"/>
      <c r="P12" s="18"/>
      <c r="Q12" s="18"/>
      <c r="R12" s="18"/>
      <c r="S12" s="18"/>
      <c r="T12" s="18"/>
      <c r="U12" s="18"/>
      <c r="V12" s="18"/>
    </row>
    <row r="13" spans="1:27" x14ac:dyDescent="0.3">
      <c r="A13">
        <f t="shared" si="0"/>
        <v>12</v>
      </c>
      <c r="B13" s="34"/>
      <c r="C13" s="34"/>
      <c r="D13" s="34"/>
      <c r="E13" s="34"/>
      <c r="F13" s="34"/>
      <c r="G13" s="34"/>
      <c r="H13" s="34"/>
      <c r="I13" s="34"/>
      <c r="J13" s="34"/>
      <c r="M13">
        <f t="shared" si="1"/>
        <v>12</v>
      </c>
      <c r="N13" s="18"/>
      <c r="O13" s="18"/>
      <c r="P13" s="18"/>
      <c r="Q13" s="18"/>
      <c r="R13" s="18"/>
      <c r="S13" s="18"/>
      <c r="T13" s="18"/>
      <c r="U13" s="18"/>
      <c r="V13" s="18"/>
    </row>
    <row r="14" spans="1:27" x14ac:dyDescent="0.3">
      <c r="A14">
        <f t="shared" si="0"/>
        <v>13</v>
      </c>
      <c r="B14" s="34"/>
      <c r="C14" s="34"/>
      <c r="D14" s="34"/>
      <c r="E14" s="34"/>
      <c r="F14" s="34"/>
      <c r="G14" s="34"/>
      <c r="H14" s="34"/>
      <c r="I14" s="34"/>
      <c r="J14" s="34"/>
      <c r="M14">
        <f t="shared" si="1"/>
        <v>13</v>
      </c>
      <c r="N14" s="18"/>
      <c r="O14" s="18"/>
      <c r="P14" s="18"/>
      <c r="Q14" s="18"/>
      <c r="R14" s="18"/>
      <c r="S14" s="18"/>
      <c r="T14" s="18"/>
      <c r="U14" s="18"/>
      <c r="V14" s="18"/>
    </row>
    <row r="15" spans="1:27" x14ac:dyDescent="0.3">
      <c r="A15">
        <f t="shared" si="0"/>
        <v>14</v>
      </c>
      <c r="B15" s="34"/>
      <c r="C15" s="34"/>
      <c r="D15" s="34"/>
      <c r="E15" s="34"/>
      <c r="F15" s="34"/>
      <c r="G15" s="34"/>
      <c r="H15" s="34"/>
      <c r="I15" s="34"/>
      <c r="J15" s="34"/>
      <c r="M15">
        <f t="shared" si="1"/>
        <v>14</v>
      </c>
      <c r="N15" s="18"/>
      <c r="O15" s="18"/>
      <c r="P15" s="18"/>
      <c r="Q15" s="18"/>
      <c r="R15" s="18"/>
      <c r="S15" s="18"/>
      <c r="T15" s="18"/>
      <c r="U15" s="18"/>
      <c r="V15" s="18"/>
    </row>
    <row r="16" spans="1:27" x14ac:dyDescent="0.3">
      <c r="A16">
        <f t="shared" si="0"/>
        <v>15</v>
      </c>
      <c r="B16" s="34"/>
      <c r="C16" s="34"/>
      <c r="D16" s="34"/>
      <c r="E16" s="34"/>
      <c r="F16" s="34"/>
      <c r="G16" s="34"/>
      <c r="H16" s="34"/>
      <c r="I16" s="34"/>
      <c r="J16" s="34"/>
      <c r="M16">
        <f t="shared" si="1"/>
        <v>15</v>
      </c>
      <c r="N16" s="18"/>
      <c r="O16" s="18"/>
      <c r="P16" s="18"/>
      <c r="Q16" s="18"/>
      <c r="R16" s="18"/>
      <c r="S16" s="18"/>
      <c r="T16" s="18"/>
      <c r="U16" s="18"/>
      <c r="V16" s="18"/>
    </row>
    <row r="17" spans="1:22" x14ac:dyDescent="0.3">
      <c r="A17">
        <f t="shared" si="0"/>
        <v>16</v>
      </c>
      <c r="B17" s="34"/>
      <c r="C17" s="34"/>
      <c r="D17" s="34"/>
      <c r="E17" s="34"/>
      <c r="F17" s="34"/>
      <c r="G17" s="34"/>
      <c r="H17" s="34"/>
      <c r="I17" s="34"/>
      <c r="J17" s="34"/>
      <c r="M17">
        <f t="shared" si="1"/>
        <v>16</v>
      </c>
      <c r="N17" s="18"/>
      <c r="O17" s="18"/>
      <c r="P17" s="18"/>
      <c r="Q17" s="18"/>
      <c r="R17" s="18"/>
      <c r="S17" s="18"/>
      <c r="T17" s="18"/>
      <c r="U17" s="18"/>
      <c r="V17" s="18"/>
    </row>
    <row r="18" spans="1:22" x14ac:dyDescent="0.3">
      <c r="A18">
        <f t="shared" si="0"/>
        <v>17</v>
      </c>
      <c r="B18" s="34"/>
      <c r="C18" s="34"/>
      <c r="D18" s="34"/>
      <c r="E18" s="34"/>
      <c r="F18" s="34"/>
      <c r="G18" s="34"/>
      <c r="H18" s="34"/>
      <c r="I18" s="34"/>
      <c r="J18" s="34"/>
      <c r="M18">
        <f t="shared" si="1"/>
        <v>17</v>
      </c>
      <c r="N18" s="18"/>
      <c r="O18" s="18"/>
      <c r="P18" s="18"/>
      <c r="Q18" s="18"/>
      <c r="R18" s="18"/>
      <c r="S18" s="18"/>
      <c r="T18" s="18"/>
      <c r="U18" s="18"/>
      <c r="V18" s="18"/>
    </row>
    <row r="19" spans="1:22" x14ac:dyDescent="0.3">
      <c r="A19">
        <f t="shared" si="0"/>
        <v>18</v>
      </c>
      <c r="B19" s="34"/>
      <c r="C19" s="34"/>
      <c r="D19" s="34"/>
      <c r="E19" s="34"/>
      <c r="F19" s="34"/>
      <c r="G19" s="34"/>
      <c r="H19" s="34"/>
      <c r="I19" s="34"/>
      <c r="J19" s="34"/>
      <c r="M19">
        <f t="shared" si="1"/>
        <v>18</v>
      </c>
      <c r="N19" s="18"/>
      <c r="O19" s="18"/>
      <c r="P19" s="18"/>
      <c r="Q19" s="18"/>
      <c r="R19" s="18"/>
      <c r="S19" s="18"/>
      <c r="T19" s="18"/>
      <c r="U19" s="18"/>
      <c r="V19" s="18"/>
    </row>
    <row r="20" spans="1:22" x14ac:dyDescent="0.3">
      <c r="A20">
        <f t="shared" si="0"/>
        <v>19</v>
      </c>
      <c r="B20" s="34"/>
      <c r="C20" s="34"/>
      <c r="D20" s="34"/>
      <c r="E20" s="34"/>
      <c r="F20" s="34"/>
      <c r="G20" s="34"/>
      <c r="H20" s="34"/>
      <c r="I20" s="34"/>
      <c r="J20" s="34"/>
      <c r="M20">
        <f t="shared" si="1"/>
        <v>19</v>
      </c>
      <c r="N20" s="18"/>
      <c r="O20" s="18"/>
      <c r="P20" s="18"/>
      <c r="Q20" s="18"/>
      <c r="R20" s="18"/>
      <c r="S20" s="18"/>
      <c r="T20" s="18"/>
      <c r="U20" s="18"/>
      <c r="V20" s="18"/>
    </row>
    <row r="21" spans="1:22" x14ac:dyDescent="0.3">
      <c r="A21">
        <f t="shared" si="0"/>
        <v>20</v>
      </c>
      <c r="B21" s="34"/>
      <c r="C21" s="34"/>
      <c r="D21" s="34"/>
      <c r="E21" s="34"/>
      <c r="F21" s="34"/>
      <c r="G21" s="34"/>
      <c r="H21" s="34"/>
      <c r="I21" s="34"/>
      <c r="J21" s="34"/>
      <c r="M21">
        <f t="shared" si="1"/>
        <v>20</v>
      </c>
      <c r="N21" s="18"/>
      <c r="O21" s="18"/>
      <c r="P21" s="18"/>
      <c r="Q21" s="18"/>
      <c r="R21" s="18"/>
      <c r="S21" s="18"/>
      <c r="T21" s="18"/>
      <c r="U21" s="18"/>
      <c r="V21" s="18"/>
    </row>
    <row r="22" spans="1:22" x14ac:dyDescent="0.3">
      <c r="A22">
        <f t="shared" si="0"/>
        <v>21</v>
      </c>
      <c r="B22" s="34"/>
      <c r="C22" s="34"/>
      <c r="D22" s="34"/>
      <c r="E22" s="34"/>
      <c r="F22" s="34"/>
      <c r="G22" s="34"/>
      <c r="H22" s="34"/>
      <c r="I22" s="34"/>
      <c r="J22" s="34"/>
      <c r="M22">
        <f t="shared" si="1"/>
        <v>21</v>
      </c>
      <c r="N22" s="18"/>
      <c r="O22" s="18"/>
      <c r="P22" s="18"/>
      <c r="Q22" s="18"/>
      <c r="R22" s="18"/>
      <c r="S22" s="18"/>
      <c r="T22" s="18"/>
      <c r="U22" s="18"/>
      <c r="V22" s="18"/>
    </row>
    <row r="23" spans="1:22" x14ac:dyDescent="0.3">
      <c r="A23">
        <f t="shared" si="0"/>
        <v>22</v>
      </c>
      <c r="B23" s="34"/>
      <c r="C23" s="34"/>
      <c r="D23" s="34"/>
      <c r="E23" s="34"/>
      <c r="F23" s="34"/>
      <c r="G23" s="34"/>
      <c r="H23" s="34"/>
      <c r="I23" s="34"/>
      <c r="J23" s="34"/>
      <c r="M23">
        <f t="shared" si="1"/>
        <v>22</v>
      </c>
      <c r="N23" s="18"/>
      <c r="O23" s="18"/>
      <c r="P23" s="18"/>
      <c r="Q23" s="18"/>
      <c r="R23" s="18"/>
      <c r="S23" s="18"/>
      <c r="T23" s="18"/>
      <c r="U23" s="18"/>
      <c r="V23" s="18"/>
    </row>
    <row r="24" spans="1:22" x14ac:dyDescent="0.3">
      <c r="A24">
        <f t="shared" si="0"/>
        <v>23</v>
      </c>
      <c r="B24" s="34"/>
      <c r="C24" s="34"/>
      <c r="D24" s="34"/>
      <c r="E24" s="34"/>
      <c r="F24" s="34"/>
      <c r="G24" s="34"/>
      <c r="H24" s="34"/>
      <c r="I24" s="34"/>
      <c r="J24" s="34"/>
      <c r="M24">
        <f t="shared" si="1"/>
        <v>23</v>
      </c>
      <c r="N24" s="18"/>
      <c r="O24" s="18"/>
      <c r="P24" s="18"/>
      <c r="Q24" s="18"/>
      <c r="R24" s="18"/>
      <c r="S24" s="18"/>
      <c r="T24" s="18"/>
      <c r="U24" s="18"/>
      <c r="V24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25F8-292B-4446-A0F6-4CBF2C3387B6}"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defaultRowHeight="14.4" x14ac:dyDescent="0.3"/>
  <cols>
    <col min="1" max="1" width="10.77734375" bestFit="1" customWidth="1"/>
    <col min="2" max="2" width="13.21875" bestFit="1" customWidth="1"/>
    <col min="3" max="3" width="12.21875" bestFit="1" customWidth="1"/>
    <col min="4" max="5" width="14.21875" bestFit="1" customWidth="1"/>
    <col min="6" max="6" width="15" bestFit="1" customWidth="1"/>
    <col min="7" max="7" width="14.21875" bestFit="1" customWidth="1"/>
    <col min="8" max="8" width="13.5546875" bestFit="1" customWidth="1"/>
    <col min="9" max="9" width="14.44140625" bestFit="1" customWidth="1"/>
    <col min="10" max="10" width="16.5546875" bestFit="1" customWidth="1"/>
    <col min="11" max="13" width="12.21875" bestFit="1" customWidth="1"/>
    <col min="14" max="14" width="10.5546875" bestFit="1" customWidth="1"/>
    <col min="15" max="15" width="13.5546875" bestFit="1" customWidth="1"/>
    <col min="16" max="16" width="27.21875" bestFit="1" customWidth="1"/>
    <col min="17" max="17" width="7.21875" customWidth="1"/>
    <col min="18" max="18" width="10.21875" customWidth="1"/>
    <col min="19" max="40" width="11.5546875" bestFit="1" customWidth="1"/>
    <col min="41" max="42" width="10.5546875" bestFit="1" customWidth="1"/>
    <col min="43" max="44" width="11.5546875" bestFit="1" customWidth="1"/>
    <col min="46" max="46" width="10.21875" bestFit="1" customWidth="1"/>
  </cols>
  <sheetData>
    <row r="4" spans="1:44" s="7" customFormat="1" x14ac:dyDescent="0.3">
      <c r="D4" s="7" t="s">
        <v>24</v>
      </c>
      <c r="E4" s="7" t="s">
        <v>25</v>
      </c>
      <c r="F4" s="7" t="s">
        <v>26</v>
      </c>
      <c r="G4" s="7" t="s">
        <v>27</v>
      </c>
      <c r="H4" s="8"/>
      <c r="J4" s="37" t="s">
        <v>28</v>
      </c>
      <c r="K4" s="38"/>
      <c r="L4" s="38"/>
      <c r="M4" s="39"/>
    </row>
    <row r="5" spans="1:44" s="7" customFormat="1" x14ac:dyDescent="0.3">
      <c r="A5" s="7" t="s">
        <v>29</v>
      </c>
      <c r="B5" s="7" t="s">
        <v>30</v>
      </c>
      <c r="C5" s="7" t="s">
        <v>31</v>
      </c>
      <c r="D5" s="7" t="s">
        <v>32</v>
      </c>
      <c r="E5" s="7" t="s">
        <v>32</v>
      </c>
      <c r="F5" s="7" t="s">
        <v>33</v>
      </c>
      <c r="G5" s="7" t="s">
        <v>34</v>
      </c>
      <c r="H5" s="9" t="s">
        <v>32</v>
      </c>
      <c r="L5" s="7" t="s">
        <v>34</v>
      </c>
      <c r="M5" s="7" t="s">
        <v>35</v>
      </c>
    </row>
    <row r="6" spans="1:44" s="7" customFormat="1" x14ac:dyDescent="0.3">
      <c r="A6" s="7" t="s">
        <v>20</v>
      </c>
      <c r="B6" s="7" t="s">
        <v>36</v>
      </c>
      <c r="C6" s="7" t="s">
        <v>37</v>
      </c>
      <c r="D6" s="7" t="s">
        <v>38</v>
      </c>
      <c r="E6" s="7" t="s">
        <v>38</v>
      </c>
      <c r="F6" s="7" t="s">
        <v>38</v>
      </c>
      <c r="G6" s="7" t="s">
        <v>39</v>
      </c>
      <c r="H6" s="9" t="s">
        <v>38</v>
      </c>
      <c r="I6" s="7" t="s">
        <v>40</v>
      </c>
      <c r="J6" s="7" t="s">
        <v>34</v>
      </c>
      <c r="K6" s="7" t="s">
        <v>36</v>
      </c>
      <c r="L6" s="7" t="s">
        <v>41</v>
      </c>
      <c r="M6" s="7" t="s">
        <v>42</v>
      </c>
      <c r="S6" s="7" t="s">
        <v>43</v>
      </c>
      <c r="AR6" s="7" t="s">
        <v>44</v>
      </c>
    </row>
    <row r="7" spans="1:44" s="7" customFormat="1" x14ac:dyDescent="0.3">
      <c r="A7" s="7" t="s">
        <v>45</v>
      </c>
      <c r="B7" s="7" t="s">
        <v>46</v>
      </c>
      <c r="C7" s="7" t="s">
        <v>45</v>
      </c>
      <c r="D7" s="7" t="s">
        <v>16</v>
      </c>
      <c r="E7" s="7" t="s">
        <v>16</v>
      </c>
      <c r="F7" s="7" t="s">
        <v>16</v>
      </c>
      <c r="G7" s="7" t="s">
        <v>45</v>
      </c>
      <c r="H7" s="9" t="s">
        <v>16</v>
      </c>
      <c r="I7" s="7" t="s">
        <v>47</v>
      </c>
      <c r="J7" s="7" t="s">
        <v>47</v>
      </c>
      <c r="K7" s="7" t="s">
        <v>46</v>
      </c>
      <c r="L7" s="7" t="s">
        <v>47</v>
      </c>
      <c r="M7" s="7" t="s">
        <v>48</v>
      </c>
      <c r="R7" s="10" t="s">
        <v>49</v>
      </c>
      <c r="S7" s="11" t="e">
        <f>R8</f>
        <v>#NUM!</v>
      </c>
      <c r="T7" s="11" t="e">
        <f>R9</f>
        <v>#NUM!</v>
      </c>
      <c r="U7" s="11" t="e">
        <f>R10</f>
        <v>#NUM!</v>
      </c>
      <c r="V7" s="11" t="e">
        <f>R11</f>
        <v>#NUM!</v>
      </c>
      <c r="W7" s="11" t="e">
        <f>R12</f>
        <v>#NUM!</v>
      </c>
      <c r="X7" s="11" t="e">
        <f>R13</f>
        <v>#NUM!</v>
      </c>
      <c r="Y7" s="11" t="e">
        <f>R14</f>
        <v>#NUM!</v>
      </c>
      <c r="Z7" s="11" t="e">
        <f>R15</f>
        <v>#NUM!</v>
      </c>
      <c r="AA7" s="11" t="e">
        <f>R16</f>
        <v>#NUM!</v>
      </c>
      <c r="AB7" s="11" t="e">
        <f>R17</f>
        <v>#NUM!</v>
      </c>
      <c r="AC7" s="11" t="e">
        <f>R18</f>
        <v>#NUM!</v>
      </c>
      <c r="AD7" s="11" t="e">
        <f>R19</f>
        <v>#NUM!</v>
      </c>
      <c r="AE7" s="11" t="e">
        <f>R20</f>
        <v>#NUM!</v>
      </c>
      <c r="AF7" s="11" t="e">
        <f>R21</f>
        <v>#NUM!</v>
      </c>
      <c r="AG7" s="11" t="e">
        <f>R22</f>
        <v>#NUM!</v>
      </c>
      <c r="AH7" s="11" t="e">
        <f>R23</f>
        <v>#NUM!</v>
      </c>
      <c r="AI7" s="11" t="e">
        <f>R24</f>
        <v>#NUM!</v>
      </c>
      <c r="AJ7" s="11" t="e">
        <f>R25</f>
        <v>#NUM!</v>
      </c>
      <c r="AK7" s="11" t="e">
        <f>R26</f>
        <v>#NUM!</v>
      </c>
      <c r="AL7" s="11" t="e">
        <f>R27</f>
        <v>#NUM!</v>
      </c>
      <c r="AM7" s="11" t="e">
        <f>R28</f>
        <v>#NUM!</v>
      </c>
      <c r="AN7" s="11" t="e">
        <f>R29</f>
        <v>#NUM!</v>
      </c>
      <c r="AO7" s="11" t="e">
        <f>R30</f>
        <v>#NUM!</v>
      </c>
      <c r="AP7" s="11">
        <f>R31</f>
        <v>1</v>
      </c>
      <c r="AQ7" s="11" t="s">
        <v>25</v>
      </c>
      <c r="AR7" s="7" t="s">
        <v>25</v>
      </c>
    </row>
    <row r="8" spans="1:44" x14ac:dyDescent="0.3">
      <c r="A8" s="12" t="e">
        <f t="shared" ref="A8:A29" si="0">DATE(YEAR(A9),MONTH(A9)-1,1)</f>
        <v>#NUM!</v>
      </c>
      <c r="B8" s="13"/>
      <c r="C8" s="14">
        <f>+'Completion Factors'!J30</f>
        <v>1</v>
      </c>
      <c r="D8" s="13">
        <f>MAX((1/C8-1)*B8,0)</f>
        <v>0</v>
      </c>
      <c r="E8" s="13">
        <f t="shared" ref="E8:E31" si="1">D8</f>
        <v>0</v>
      </c>
      <c r="F8" s="13"/>
      <c r="G8" s="13">
        <f>B8+D8+F8</f>
        <v>0</v>
      </c>
      <c r="H8" s="15">
        <f t="shared" ref="H8:H28" si="2">G8-B8</f>
        <v>0</v>
      </c>
      <c r="I8" s="13"/>
      <c r="J8" s="13" t="e">
        <f>100*$G8/$I8</f>
        <v>#DIV/0!</v>
      </c>
      <c r="K8" s="13" t="e">
        <f t="shared" ref="K8:K31" si="3">100*(B8/I8)</f>
        <v>#DIV/0!</v>
      </c>
      <c r="L8" s="13" t="e">
        <f t="shared" ref="L8:L31" si="4">J8-K8</f>
        <v>#DIV/0!</v>
      </c>
      <c r="M8" s="13"/>
      <c r="N8" s="13"/>
      <c r="O8" s="13"/>
      <c r="P8" s="16"/>
      <c r="R8" s="17" t="e">
        <f t="shared" ref="R8:R31" si="5">A8</f>
        <v>#NUM!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3"/>
      <c r="AR8" s="13"/>
    </row>
    <row r="9" spans="1:44" x14ac:dyDescent="0.3">
      <c r="A9" s="12" t="e">
        <f t="shared" si="0"/>
        <v>#NUM!</v>
      </c>
      <c r="B9" s="13"/>
      <c r="C9" s="14">
        <f>+'Completion Factors'!J29</f>
        <v>0</v>
      </c>
      <c r="D9" s="13" t="e">
        <f t="shared" ref="D9:D31" si="6">MAX((1/C9-1)*B9,0)</f>
        <v>#DIV/0!</v>
      </c>
      <c r="E9" s="13" t="e">
        <f t="shared" si="1"/>
        <v>#DIV/0!</v>
      </c>
      <c r="F9" s="13"/>
      <c r="G9" s="13" t="e">
        <f t="shared" ref="G9:G30" si="7">B9+D9+F9</f>
        <v>#DIV/0!</v>
      </c>
      <c r="H9" s="15" t="e">
        <f t="shared" si="2"/>
        <v>#DIV/0!</v>
      </c>
      <c r="I9" s="13"/>
      <c r="J9" s="13" t="e">
        <f t="shared" ref="J9:J28" si="8">100*$G9/$I9</f>
        <v>#DIV/0!</v>
      </c>
      <c r="K9" s="13" t="e">
        <f t="shared" si="3"/>
        <v>#DIV/0!</v>
      </c>
      <c r="L9" s="13" t="e">
        <f t="shared" si="4"/>
        <v>#DIV/0!</v>
      </c>
      <c r="M9" s="13"/>
      <c r="N9" s="13"/>
      <c r="O9" s="13"/>
      <c r="P9" s="13"/>
      <c r="R9" s="17" t="e">
        <f t="shared" si="5"/>
        <v>#NUM!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3"/>
      <c r="AR9" s="13"/>
    </row>
    <row r="10" spans="1:44" x14ac:dyDescent="0.3">
      <c r="A10" s="12" t="e">
        <f t="shared" si="0"/>
        <v>#NUM!</v>
      </c>
      <c r="B10" s="13"/>
      <c r="C10" s="14">
        <f>+'Completion Factors'!J28</f>
        <v>0</v>
      </c>
      <c r="D10" s="13" t="e">
        <f t="shared" si="6"/>
        <v>#DIV/0!</v>
      </c>
      <c r="E10" s="13" t="e">
        <f t="shared" si="1"/>
        <v>#DIV/0!</v>
      </c>
      <c r="F10" s="13"/>
      <c r="G10" s="13" t="e">
        <f t="shared" si="7"/>
        <v>#DIV/0!</v>
      </c>
      <c r="H10" s="15" t="e">
        <f t="shared" si="2"/>
        <v>#DIV/0!</v>
      </c>
      <c r="I10" s="13"/>
      <c r="J10" s="13" t="e">
        <f t="shared" si="8"/>
        <v>#DIV/0!</v>
      </c>
      <c r="K10" s="13" t="e">
        <f t="shared" si="3"/>
        <v>#DIV/0!</v>
      </c>
      <c r="L10" s="13" t="e">
        <f t="shared" si="4"/>
        <v>#DIV/0!</v>
      </c>
      <c r="M10" s="13"/>
      <c r="N10" s="13"/>
      <c r="O10" s="13"/>
      <c r="P10" s="13"/>
      <c r="R10" s="17" t="e">
        <f t="shared" si="5"/>
        <v>#NUM!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3"/>
      <c r="AR10" s="13"/>
    </row>
    <row r="11" spans="1:44" x14ac:dyDescent="0.3">
      <c r="A11" s="12" t="e">
        <f t="shared" si="0"/>
        <v>#NUM!</v>
      </c>
      <c r="B11" s="13"/>
      <c r="C11" s="14">
        <f>+'Completion Factors'!J27</f>
        <v>0</v>
      </c>
      <c r="D11" s="13" t="e">
        <f t="shared" si="6"/>
        <v>#DIV/0!</v>
      </c>
      <c r="E11" s="13" t="e">
        <f t="shared" si="1"/>
        <v>#DIV/0!</v>
      </c>
      <c r="F11" s="13"/>
      <c r="G11" s="13" t="e">
        <f t="shared" si="7"/>
        <v>#DIV/0!</v>
      </c>
      <c r="H11" s="15" t="e">
        <f t="shared" si="2"/>
        <v>#DIV/0!</v>
      </c>
      <c r="I11" s="13"/>
      <c r="J11" s="13" t="e">
        <f t="shared" si="8"/>
        <v>#DIV/0!</v>
      </c>
      <c r="K11" s="13" t="e">
        <f t="shared" si="3"/>
        <v>#DIV/0!</v>
      </c>
      <c r="L11" s="13" t="e">
        <f t="shared" si="4"/>
        <v>#DIV/0!</v>
      </c>
      <c r="M11" s="13"/>
      <c r="N11" s="13"/>
      <c r="O11" s="13"/>
      <c r="P11" s="13"/>
      <c r="R11" s="17" t="e">
        <f t="shared" si="5"/>
        <v>#NUM!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3"/>
      <c r="AR11" s="13"/>
    </row>
    <row r="12" spans="1:44" x14ac:dyDescent="0.3">
      <c r="A12" s="12" t="e">
        <f t="shared" si="0"/>
        <v>#NUM!</v>
      </c>
      <c r="B12" s="13"/>
      <c r="C12" s="14">
        <f>++'Completion Factors'!J26</f>
        <v>0</v>
      </c>
      <c r="D12" s="13" t="e">
        <f t="shared" si="6"/>
        <v>#DIV/0!</v>
      </c>
      <c r="E12" s="13" t="e">
        <f t="shared" si="1"/>
        <v>#DIV/0!</v>
      </c>
      <c r="F12" s="13"/>
      <c r="G12" s="13" t="e">
        <f t="shared" si="7"/>
        <v>#DIV/0!</v>
      </c>
      <c r="H12" s="15" t="e">
        <f t="shared" si="2"/>
        <v>#DIV/0!</v>
      </c>
      <c r="I12" s="13"/>
      <c r="J12" s="13" t="e">
        <f t="shared" si="8"/>
        <v>#DIV/0!</v>
      </c>
      <c r="K12" s="13" t="e">
        <f t="shared" si="3"/>
        <v>#DIV/0!</v>
      </c>
      <c r="L12" s="13" t="e">
        <f t="shared" si="4"/>
        <v>#DIV/0!</v>
      </c>
      <c r="M12" s="13"/>
      <c r="N12" s="13"/>
      <c r="O12" s="13"/>
      <c r="P12" s="13"/>
      <c r="R12" s="17" t="e">
        <f t="shared" si="5"/>
        <v>#NUM!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3"/>
      <c r="AR12" s="13"/>
    </row>
    <row r="13" spans="1:44" x14ac:dyDescent="0.3">
      <c r="A13" s="12" t="e">
        <f t="shared" si="0"/>
        <v>#NUM!</v>
      </c>
      <c r="B13" s="13"/>
      <c r="C13" s="14">
        <f>++'Completion Factors'!J25</f>
        <v>0</v>
      </c>
      <c r="D13" s="13" t="e">
        <f t="shared" si="6"/>
        <v>#DIV/0!</v>
      </c>
      <c r="E13" s="13" t="e">
        <f t="shared" si="1"/>
        <v>#DIV/0!</v>
      </c>
      <c r="F13" s="13"/>
      <c r="G13" s="13" t="e">
        <f t="shared" si="7"/>
        <v>#DIV/0!</v>
      </c>
      <c r="H13" s="15" t="e">
        <f t="shared" si="2"/>
        <v>#DIV/0!</v>
      </c>
      <c r="I13" s="13"/>
      <c r="J13" s="13" t="e">
        <f t="shared" si="8"/>
        <v>#DIV/0!</v>
      </c>
      <c r="K13" s="13" t="e">
        <f t="shared" si="3"/>
        <v>#DIV/0!</v>
      </c>
      <c r="L13" s="13" t="e">
        <f t="shared" si="4"/>
        <v>#DIV/0!</v>
      </c>
      <c r="M13" s="13"/>
      <c r="N13" s="13"/>
      <c r="O13" s="13"/>
      <c r="P13" s="13"/>
      <c r="R13" s="17" t="e">
        <f t="shared" si="5"/>
        <v>#NUM!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3"/>
      <c r="AR13" s="13"/>
    </row>
    <row r="14" spans="1:44" x14ac:dyDescent="0.3">
      <c r="A14" s="12" t="e">
        <f t="shared" si="0"/>
        <v>#NUM!</v>
      </c>
      <c r="B14" s="13"/>
      <c r="C14" s="14">
        <f>++'Completion Factors'!J24</f>
        <v>0</v>
      </c>
      <c r="D14" s="13" t="e">
        <f t="shared" si="6"/>
        <v>#DIV/0!</v>
      </c>
      <c r="E14" s="13" t="e">
        <f t="shared" si="1"/>
        <v>#DIV/0!</v>
      </c>
      <c r="F14" s="13"/>
      <c r="G14" s="13" t="e">
        <f t="shared" si="7"/>
        <v>#DIV/0!</v>
      </c>
      <c r="H14" s="15" t="e">
        <f t="shared" si="2"/>
        <v>#DIV/0!</v>
      </c>
      <c r="I14" s="13"/>
      <c r="J14" s="13" t="e">
        <f t="shared" si="8"/>
        <v>#DIV/0!</v>
      </c>
      <c r="K14" s="13" t="e">
        <f t="shared" si="3"/>
        <v>#DIV/0!</v>
      </c>
      <c r="L14" s="13" t="e">
        <f t="shared" si="4"/>
        <v>#DIV/0!</v>
      </c>
      <c r="M14" s="13"/>
      <c r="N14" s="13"/>
      <c r="O14" s="13"/>
      <c r="P14" s="13"/>
      <c r="R14" s="17" t="e">
        <f t="shared" si="5"/>
        <v>#NUM!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3"/>
      <c r="AR14" s="13"/>
    </row>
    <row r="15" spans="1:44" x14ac:dyDescent="0.3">
      <c r="A15" s="12" t="e">
        <f t="shared" si="0"/>
        <v>#NUM!</v>
      </c>
      <c r="B15" s="13"/>
      <c r="C15" s="14">
        <f>++'Completion Factors'!J23</f>
        <v>0</v>
      </c>
      <c r="D15" s="13" t="e">
        <f t="shared" si="6"/>
        <v>#DIV/0!</v>
      </c>
      <c r="E15" s="13" t="e">
        <f t="shared" si="1"/>
        <v>#DIV/0!</v>
      </c>
      <c r="F15" s="13"/>
      <c r="G15" s="13" t="e">
        <f t="shared" si="7"/>
        <v>#DIV/0!</v>
      </c>
      <c r="H15" s="15" t="e">
        <f t="shared" si="2"/>
        <v>#DIV/0!</v>
      </c>
      <c r="I15" s="13"/>
      <c r="J15" s="13" t="e">
        <f t="shared" si="8"/>
        <v>#DIV/0!</v>
      </c>
      <c r="K15" s="13" t="e">
        <f t="shared" si="3"/>
        <v>#DIV/0!</v>
      </c>
      <c r="L15" s="13" t="e">
        <f t="shared" si="4"/>
        <v>#DIV/0!</v>
      </c>
      <c r="M15" s="13"/>
      <c r="N15" s="13"/>
      <c r="O15" s="13"/>
      <c r="P15" s="13"/>
      <c r="R15" s="17" t="e">
        <f t="shared" si="5"/>
        <v>#NUM!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3"/>
      <c r="AR15" s="13"/>
    </row>
    <row r="16" spans="1:44" x14ac:dyDescent="0.3">
      <c r="A16" s="12" t="e">
        <f t="shared" si="0"/>
        <v>#NUM!</v>
      </c>
      <c r="B16" s="13"/>
      <c r="C16" s="14">
        <f>++'Completion Factors'!J22</f>
        <v>0</v>
      </c>
      <c r="D16" s="13" t="e">
        <f t="shared" si="6"/>
        <v>#DIV/0!</v>
      </c>
      <c r="E16" s="13" t="e">
        <f t="shared" si="1"/>
        <v>#DIV/0!</v>
      </c>
      <c r="F16" s="13"/>
      <c r="G16" s="13" t="e">
        <f t="shared" si="7"/>
        <v>#DIV/0!</v>
      </c>
      <c r="H16" s="15" t="e">
        <f t="shared" si="2"/>
        <v>#DIV/0!</v>
      </c>
      <c r="I16" s="13"/>
      <c r="J16" s="13" t="e">
        <f t="shared" si="8"/>
        <v>#DIV/0!</v>
      </c>
      <c r="K16" s="13" t="e">
        <f t="shared" si="3"/>
        <v>#DIV/0!</v>
      </c>
      <c r="L16" s="13" t="e">
        <f t="shared" si="4"/>
        <v>#DIV/0!</v>
      </c>
      <c r="M16" s="13"/>
      <c r="N16" s="13"/>
      <c r="O16" s="13"/>
      <c r="P16" s="13"/>
      <c r="R16" s="17" t="e">
        <f t="shared" si="5"/>
        <v>#NUM!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3"/>
      <c r="AR16" s="13"/>
    </row>
    <row r="17" spans="1:44" x14ac:dyDescent="0.3">
      <c r="A17" s="12" t="e">
        <f t="shared" si="0"/>
        <v>#NUM!</v>
      </c>
      <c r="B17" s="13"/>
      <c r="C17" s="14">
        <f>++'Completion Factors'!J21</f>
        <v>0</v>
      </c>
      <c r="D17" s="13" t="e">
        <f t="shared" si="6"/>
        <v>#DIV/0!</v>
      </c>
      <c r="E17" s="13" t="e">
        <f t="shared" si="1"/>
        <v>#DIV/0!</v>
      </c>
      <c r="F17" s="13"/>
      <c r="G17" s="13" t="e">
        <f t="shared" si="7"/>
        <v>#DIV/0!</v>
      </c>
      <c r="H17" s="15" t="e">
        <f t="shared" si="2"/>
        <v>#DIV/0!</v>
      </c>
      <c r="I17" s="13"/>
      <c r="J17" s="13" t="e">
        <f t="shared" si="8"/>
        <v>#DIV/0!</v>
      </c>
      <c r="K17" s="13" t="e">
        <f t="shared" si="3"/>
        <v>#DIV/0!</v>
      </c>
      <c r="L17" s="13" t="e">
        <f t="shared" si="4"/>
        <v>#DIV/0!</v>
      </c>
      <c r="M17" s="13"/>
      <c r="N17" s="13"/>
      <c r="O17" s="13"/>
      <c r="P17" s="13"/>
      <c r="R17" s="17" t="e">
        <f t="shared" si="5"/>
        <v>#NUM!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3"/>
      <c r="AR17" s="13"/>
    </row>
    <row r="18" spans="1:44" x14ac:dyDescent="0.3">
      <c r="A18" s="12" t="e">
        <f t="shared" si="0"/>
        <v>#NUM!</v>
      </c>
      <c r="B18" s="13"/>
      <c r="C18" s="14">
        <f>++'Completion Factors'!J20</f>
        <v>0</v>
      </c>
      <c r="D18" s="13" t="e">
        <f t="shared" si="6"/>
        <v>#DIV/0!</v>
      </c>
      <c r="E18" s="13" t="e">
        <f t="shared" si="1"/>
        <v>#DIV/0!</v>
      </c>
      <c r="F18" s="13"/>
      <c r="G18" s="13" t="e">
        <f t="shared" si="7"/>
        <v>#DIV/0!</v>
      </c>
      <c r="H18" s="15" t="e">
        <f t="shared" si="2"/>
        <v>#DIV/0!</v>
      </c>
      <c r="I18" s="13"/>
      <c r="J18" s="13" t="e">
        <f t="shared" si="8"/>
        <v>#DIV/0!</v>
      </c>
      <c r="K18" s="13" t="e">
        <f t="shared" si="3"/>
        <v>#DIV/0!</v>
      </c>
      <c r="L18" s="13" t="e">
        <f t="shared" si="4"/>
        <v>#DIV/0!</v>
      </c>
      <c r="M18" s="13"/>
      <c r="N18" s="13"/>
      <c r="O18" s="13"/>
      <c r="P18" s="13"/>
      <c r="R18" s="17" t="e">
        <f t="shared" si="5"/>
        <v>#NUM!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3"/>
      <c r="AR18" s="13"/>
    </row>
    <row r="19" spans="1:44" x14ac:dyDescent="0.3">
      <c r="A19" s="12" t="e">
        <f t="shared" si="0"/>
        <v>#NUM!</v>
      </c>
      <c r="B19" s="13"/>
      <c r="C19" s="14">
        <f>++'Completion Factors'!J19</f>
        <v>0</v>
      </c>
      <c r="D19" s="13" t="e">
        <f t="shared" si="6"/>
        <v>#DIV/0!</v>
      </c>
      <c r="E19" s="13" t="e">
        <f t="shared" si="1"/>
        <v>#DIV/0!</v>
      </c>
      <c r="F19" s="13"/>
      <c r="G19" s="13" t="e">
        <f t="shared" si="7"/>
        <v>#DIV/0!</v>
      </c>
      <c r="H19" s="15" t="e">
        <f t="shared" si="2"/>
        <v>#DIV/0!</v>
      </c>
      <c r="I19" s="13"/>
      <c r="J19" s="13" t="e">
        <f t="shared" si="8"/>
        <v>#DIV/0!</v>
      </c>
      <c r="K19" s="13" t="e">
        <f t="shared" si="3"/>
        <v>#DIV/0!</v>
      </c>
      <c r="L19" s="13" t="e">
        <f t="shared" si="4"/>
        <v>#DIV/0!</v>
      </c>
      <c r="M19" s="13" t="e">
        <f>SUM(G8:G19)/SUM(I8:I19)*100</f>
        <v>#DIV/0!</v>
      </c>
      <c r="N19" s="19"/>
      <c r="O19" s="13"/>
      <c r="P19" s="13"/>
      <c r="R19" s="17" t="e">
        <f t="shared" si="5"/>
        <v>#NUM!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3"/>
      <c r="AR19" s="13"/>
    </row>
    <row r="20" spans="1:44" x14ac:dyDescent="0.3">
      <c r="A20" s="12" t="e">
        <f t="shared" si="0"/>
        <v>#NUM!</v>
      </c>
      <c r="B20" s="13"/>
      <c r="C20" s="14">
        <f>++'Completion Factors'!J18</f>
        <v>0</v>
      </c>
      <c r="D20" s="13" t="e">
        <f t="shared" si="6"/>
        <v>#DIV/0!</v>
      </c>
      <c r="E20" s="13" t="e">
        <f t="shared" si="1"/>
        <v>#DIV/0!</v>
      </c>
      <c r="F20" s="13"/>
      <c r="G20" s="13" t="e">
        <f t="shared" si="7"/>
        <v>#DIV/0!</v>
      </c>
      <c r="H20" s="15" t="e">
        <f t="shared" si="2"/>
        <v>#DIV/0!</v>
      </c>
      <c r="I20" s="13"/>
      <c r="J20" s="13" t="e">
        <f t="shared" si="8"/>
        <v>#DIV/0!</v>
      </c>
      <c r="K20" s="13" t="e">
        <f t="shared" si="3"/>
        <v>#DIV/0!</v>
      </c>
      <c r="L20" s="13" t="e">
        <f t="shared" si="4"/>
        <v>#DIV/0!</v>
      </c>
      <c r="M20" s="13" t="e">
        <f t="shared" ref="M20:M31" si="9">SUM(G9:G20)/SUM(I9:I20)*100</f>
        <v>#DIV/0!</v>
      </c>
      <c r="N20" s="19" t="e">
        <f>J20/J8</f>
        <v>#DIV/0!</v>
      </c>
      <c r="O20" s="19" t="e">
        <f t="shared" ref="O20:O30" si="10">I20/I8</f>
        <v>#DIV/0!</v>
      </c>
      <c r="P20" s="13"/>
      <c r="R20" s="17" t="e">
        <f t="shared" si="5"/>
        <v>#NUM!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3"/>
      <c r="AR20" s="13"/>
    </row>
    <row r="21" spans="1:44" x14ac:dyDescent="0.3">
      <c r="A21" s="12" t="e">
        <f t="shared" si="0"/>
        <v>#NUM!</v>
      </c>
      <c r="B21" s="13"/>
      <c r="C21" s="14">
        <f>++'Completion Factors'!J17</f>
        <v>0</v>
      </c>
      <c r="D21" s="13" t="e">
        <f t="shared" si="6"/>
        <v>#DIV/0!</v>
      </c>
      <c r="E21" s="13" t="e">
        <f t="shared" si="1"/>
        <v>#DIV/0!</v>
      </c>
      <c r="F21" s="13"/>
      <c r="G21" s="13" t="e">
        <f t="shared" si="7"/>
        <v>#DIV/0!</v>
      </c>
      <c r="H21" s="15" t="e">
        <f t="shared" si="2"/>
        <v>#DIV/0!</v>
      </c>
      <c r="I21" s="13"/>
      <c r="J21" s="13" t="e">
        <f t="shared" si="8"/>
        <v>#DIV/0!</v>
      </c>
      <c r="K21" s="13" t="e">
        <f t="shared" si="3"/>
        <v>#DIV/0!</v>
      </c>
      <c r="L21" s="13" t="e">
        <f t="shared" si="4"/>
        <v>#DIV/0!</v>
      </c>
      <c r="M21" s="13" t="e">
        <f t="shared" si="9"/>
        <v>#DIV/0!</v>
      </c>
      <c r="N21" s="19" t="e">
        <f t="shared" ref="N21:N31" si="11">J21/J9</f>
        <v>#DIV/0!</v>
      </c>
      <c r="O21" s="19" t="e">
        <f t="shared" si="10"/>
        <v>#DIV/0!</v>
      </c>
      <c r="P21" s="13"/>
      <c r="R21" s="17" t="e">
        <f t="shared" si="5"/>
        <v>#NUM!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3"/>
      <c r="AR21" s="13"/>
    </row>
    <row r="22" spans="1:44" x14ac:dyDescent="0.3">
      <c r="A22" s="12" t="e">
        <f t="shared" si="0"/>
        <v>#NUM!</v>
      </c>
      <c r="B22" s="13"/>
      <c r="C22" s="14">
        <f>++'Completion Factors'!J16</f>
        <v>0</v>
      </c>
      <c r="D22" s="13" t="e">
        <f t="shared" si="6"/>
        <v>#DIV/0!</v>
      </c>
      <c r="E22" s="13" t="e">
        <f t="shared" si="1"/>
        <v>#DIV/0!</v>
      </c>
      <c r="F22" s="13"/>
      <c r="G22" s="13" t="e">
        <f t="shared" si="7"/>
        <v>#DIV/0!</v>
      </c>
      <c r="H22" s="15" t="e">
        <f t="shared" si="2"/>
        <v>#DIV/0!</v>
      </c>
      <c r="I22" s="13"/>
      <c r="J22" s="13" t="e">
        <f t="shared" si="8"/>
        <v>#DIV/0!</v>
      </c>
      <c r="K22" s="13" t="e">
        <f t="shared" si="3"/>
        <v>#DIV/0!</v>
      </c>
      <c r="L22" s="13" t="e">
        <f t="shared" si="4"/>
        <v>#DIV/0!</v>
      </c>
      <c r="M22" s="13" t="e">
        <f t="shared" si="9"/>
        <v>#DIV/0!</v>
      </c>
      <c r="N22" s="19" t="e">
        <f t="shared" si="11"/>
        <v>#DIV/0!</v>
      </c>
      <c r="O22" s="19" t="e">
        <f t="shared" si="10"/>
        <v>#DIV/0!</v>
      </c>
      <c r="P22" s="13"/>
      <c r="R22" s="17" t="e">
        <f t="shared" si="5"/>
        <v>#NUM!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3"/>
      <c r="AR22" s="13"/>
    </row>
    <row r="23" spans="1:44" x14ac:dyDescent="0.3">
      <c r="A23" s="12" t="e">
        <f t="shared" si="0"/>
        <v>#NUM!</v>
      </c>
      <c r="B23" s="13"/>
      <c r="C23" s="14">
        <f>++'Completion Factors'!J15</f>
        <v>0</v>
      </c>
      <c r="D23" s="13" t="e">
        <f t="shared" si="6"/>
        <v>#DIV/0!</v>
      </c>
      <c r="E23" s="13" t="e">
        <f t="shared" si="1"/>
        <v>#DIV/0!</v>
      </c>
      <c r="F23" s="13"/>
      <c r="G23" s="13" t="e">
        <f t="shared" si="7"/>
        <v>#DIV/0!</v>
      </c>
      <c r="H23" s="15" t="e">
        <f t="shared" si="2"/>
        <v>#DIV/0!</v>
      </c>
      <c r="I23" s="13"/>
      <c r="J23" s="13" t="e">
        <f t="shared" si="8"/>
        <v>#DIV/0!</v>
      </c>
      <c r="K23" s="13" t="e">
        <f t="shared" si="3"/>
        <v>#DIV/0!</v>
      </c>
      <c r="L23" s="13" t="e">
        <f t="shared" si="4"/>
        <v>#DIV/0!</v>
      </c>
      <c r="M23" s="13" t="e">
        <f t="shared" si="9"/>
        <v>#DIV/0!</v>
      </c>
      <c r="N23" s="19" t="e">
        <f t="shared" si="11"/>
        <v>#DIV/0!</v>
      </c>
      <c r="O23" s="19" t="e">
        <f t="shared" si="10"/>
        <v>#DIV/0!</v>
      </c>
      <c r="P23" s="13"/>
      <c r="R23" s="17" t="e">
        <f t="shared" si="5"/>
        <v>#NUM!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3"/>
      <c r="AR23" s="13"/>
    </row>
    <row r="24" spans="1:44" x14ac:dyDescent="0.3">
      <c r="A24" s="12" t="e">
        <f t="shared" si="0"/>
        <v>#NUM!</v>
      </c>
      <c r="B24" s="13"/>
      <c r="C24" s="14">
        <f>++'Completion Factors'!J14</f>
        <v>0</v>
      </c>
      <c r="D24" s="13" t="e">
        <f t="shared" si="6"/>
        <v>#DIV/0!</v>
      </c>
      <c r="E24" s="13" t="e">
        <f t="shared" si="1"/>
        <v>#DIV/0!</v>
      </c>
      <c r="F24" s="20">
        <v>0</v>
      </c>
      <c r="G24" s="13" t="e">
        <f t="shared" si="7"/>
        <v>#DIV/0!</v>
      </c>
      <c r="H24" s="15" t="e">
        <f t="shared" si="2"/>
        <v>#DIV/0!</v>
      </c>
      <c r="I24" s="13"/>
      <c r="J24" s="13" t="e">
        <f t="shared" si="8"/>
        <v>#DIV/0!</v>
      </c>
      <c r="K24" s="13" t="e">
        <f t="shared" si="3"/>
        <v>#DIV/0!</v>
      </c>
      <c r="L24" s="13" t="e">
        <f t="shared" si="4"/>
        <v>#DIV/0!</v>
      </c>
      <c r="M24" s="13" t="e">
        <f t="shared" si="9"/>
        <v>#DIV/0!</v>
      </c>
      <c r="N24" s="19" t="e">
        <f t="shared" si="11"/>
        <v>#DIV/0!</v>
      </c>
      <c r="O24" s="19" t="e">
        <f t="shared" si="10"/>
        <v>#DIV/0!</v>
      </c>
      <c r="P24" s="13"/>
      <c r="R24" s="17" t="e">
        <f t="shared" si="5"/>
        <v>#NUM!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3"/>
      <c r="AR24" s="13"/>
    </row>
    <row r="25" spans="1:44" x14ac:dyDescent="0.3">
      <c r="A25" s="12" t="e">
        <f t="shared" si="0"/>
        <v>#NUM!</v>
      </c>
      <c r="B25" s="13"/>
      <c r="C25" s="14">
        <f>++'Completion Factors'!J13</f>
        <v>0</v>
      </c>
      <c r="D25" s="13" t="e">
        <f t="shared" si="6"/>
        <v>#DIV/0!</v>
      </c>
      <c r="E25" s="13" t="e">
        <f t="shared" si="1"/>
        <v>#DIV/0!</v>
      </c>
      <c r="F25" s="20">
        <v>0</v>
      </c>
      <c r="G25" s="13" t="e">
        <f t="shared" si="7"/>
        <v>#DIV/0!</v>
      </c>
      <c r="H25" s="15" t="e">
        <f t="shared" si="2"/>
        <v>#DIV/0!</v>
      </c>
      <c r="I25" s="13"/>
      <c r="J25" s="13" t="e">
        <f t="shared" si="8"/>
        <v>#DIV/0!</v>
      </c>
      <c r="K25" s="13" t="e">
        <f t="shared" si="3"/>
        <v>#DIV/0!</v>
      </c>
      <c r="L25" s="13" t="e">
        <f t="shared" si="4"/>
        <v>#DIV/0!</v>
      </c>
      <c r="M25" s="13" t="e">
        <f t="shared" si="9"/>
        <v>#DIV/0!</v>
      </c>
      <c r="N25" s="19" t="e">
        <f t="shared" si="11"/>
        <v>#DIV/0!</v>
      </c>
      <c r="O25" s="19" t="e">
        <f t="shared" si="10"/>
        <v>#DIV/0!</v>
      </c>
      <c r="P25" s="13"/>
      <c r="R25" s="17" t="e">
        <f t="shared" si="5"/>
        <v>#NUM!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3"/>
      <c r="AR25" s="13"/>
    </row>
    <row r="26" spans="1:44" x14ac:dyDescent="0.3">
      <c r="A26" s="12" t="e">
        <f t="shared" si="0"/>
        <v>#NUM!</v>
      </c>
      <c r="B26" s="13"/>
      <c r="C26" s="14">
        <f>++'Completion Factors'!J12</f>
        <v>0</v>
      </c>
      <c r="D26" s="13" t="e">
        <f t="shared" si="6"/>
        <v>#DIV/0!</v>
      </c>
      <c r="E26" s="13" t="e">
        <f t="shared" si="1"/>
        <v>#DIV/0!</v>
      </c>
      <c r="F26" s="20">
        <v>0</v>
      </c>
      <c r="G26" s="13" t="e">
        <f t="shared" si="7"/>
        <v>#DIV/0!</v>
      </c>
      <c r="H26" s="15" t="e">
        <f t="shared" si="2"/>
        <v>#DIV/0!</v>
      </c>
      <c r="I26" s="13"/>
      <c r="J26" s="13" t="e">
        <f t="shared" si="8"/>
        <v>#DIV/0!</v>
      </c>
      <c r="K26" s="13" t="e">
        <f t="shared" si="3"/>
        <v>#DIV/0!</v>
      </c>
      <c r="L26" s="13" t="e">
        <f t="shared" si="4"/>
        <v>#DIV/0!</v>
      </c>
      <c r="M26" s="13" t="e">
        <f t="shared" si="9"/>
        <v>#DIV/0!</v>
      </c>
      <c r="N26" s="19" t="e">
        <f t="shared" si="11"/>
        <v>#DIV/0!</v>
      </c>
      <c r="O26" s="19" t="e">
        <f t="shared" si="10"/>
        <v>#DIV/0!</v>
      </c>
      <c r="P26" s="13"/>
      <c r="R26" s="17" t="e">
        <f t="shared" si="5"/>
        <v>#NUM!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3"/>
      <c r="AR26" s="13"/>
    </row>
    <row r="27" spans="1:44" x14ac:dyDescent="0.3">
      <c r="A27" s="12" t="e">
        <f t="shared" si="0"/>
        <v>#NUM!</v>
      </c>
      <c r="B27" s="13"/>
      <c r="C27" s="14">
        <f>++'Completion Factors'!J11</f>
        <v>0</v>
      </c>
      <c r="D27" s="13" t="e">
        <f t="shared" si="6"/>
        <v>#DIV/0!</v>
      </c>
      <c r="E27" s="13" t="e">
        <f t="shared" si="1"/>
        <v>#DIV/0!</v>
      </c>
      <c r="F27" s="20">
        <v>0</v>
      </c>
      <c r="G27" s="13" t="e">
        <f t="shared" si="7"/>
        <v>#DIV/0!</v>
      </c>
      <c r="H27" s="15" t="e">
        <f t="shared" si="2"/>
        <v>#DIV/0!</v>
      </c>
      <c r="I27" s="13"/>
      <c r="J27" s="13" t="e">
        <f t="shared" si="8"/>
        <v>#DIV/0!</v>
      </c>
      <c r="K27" s="13" t="e">
        <f t="shared" si="3"/>
        <v>#DIV/0!</v>
      </c>
      <c r="L27" s="13" t="e">
        <f t="shared" si="4"/>
        <v>#DIV/0!</v>
      </c>
      <c r="M27" s="13" t="e">
        <f t="shared" si="9"/>
        <v>#DIV/0!</v>
      </c>
      <c r="N27" s="19" t="e">
        <f t="shared" si="11"/>
        <v>#DIV/0!</v>
      </c>
      <c r="O27" s="19" t="e">
        <f t="shared" si="10"/>
        <v>#DIV/0!</v>
      </c>
      <c r="P27" s="13"/>
      <c r="R27" s="17" t="e">
        <f t="shared" si="5"/>
        <v>#NUM!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3"/>
      <c r="AR27" s="13"/>
    </row>
    <row r="28" spans="1:44" x14ac:dyDescent="0.3">
      <c r="A28" s="12" t="e">
        <f t="shared" si="0"/>
        <v>#NUM!</v>
      </c>
      <c r="B28" s="13"/>
      <c r="C28" s="14">
        <f>++'Completion Factors'!J10</f>
        <v>0</v>
      </c>
      <c r="D28" s="13" t="e">
        <f t="shared" si="6"/>
        <v>#DIV/0!</v>
      </c>
      <c r="E28" s="13" t="e">
        <f t="shared" si="1"/>
        <v>#DIV/0!</v>
      </c>
      <c r="F28" s="20">
        <v>0</v>
      </c>
      <c r="G28" s="13" t="e">
        <f t="shared" si="7"/>
        <v>#DIV/0!</v>
      </c>
      <c r="H28" s="15" t="e">
        <f t="shared" si="2"/>
        <v>#DIV/0!</v>
      </c>
      <c r="I28" s="13"/>
      <c r="J28" s="13" t="e">
        <f t="shared" si="8"/>
        <v>#DIV/0!</v>
      </c>
      <c r="K28" s="13" t="e">
        <f t="shared" si="3"/>
        <v>#DIV/0!</v>
      </c>
      <c r="L28" s="13" t="e">
        <f t="shared" si="4"/>
        <v>#DIV/0!</v>
      </c>
      <c r="M28" s="13" t="e">
        <f t="shared" si="9"/>
        <v>#DIV/0!</v>
      </c>
      <c r="N28" s="19" t="e">
        <f t="shared" si="11"/>
        <v>#DIV/0!</v>
      </c>
      <c r="O28" s="19" t="e">
        <f t="shared" si="10"/>
        <v>#DIV/0!</v>
      </c>
      <c r="P28" s="21"/>
      <c r="R28" s="17" t="e">
        <f t="shared" si="5"/>
        <v>#NUM!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3"/>
      <c r="AR28" s="13"/>
    </row>
    <row r="29" spans="1:44" x14ac:dyDescent="0.3">
      <c r="A29" s="12" t="e">
        <f t="shared" si="0"/>
        <v>#NUM!</v>
      </c>
      <c r="B29" s="13"/>
      <c r="C29" s="14">
        <f>++'Completion Factors'!J9</f>
        <v>0</v>
      </c>
      <c r="D29" s="13" t="e">
        <f t="shared" si="6"/>
        <v>#DIV/0!</v>
      </c>
      <c r="E29" s="13" t="e">
        <f t="shared" si="1"/>
        <v>#DIV/0!</v>
      </c>
      <c r="F29" s="13" t="e">
        <f>ROUND(+I29*J29/100,0)-D29-B29</f>
        <v>#DIV/0!</v>
      </c>
      <c r="G29" s="13" t="e">
        <f>IF(OR($A$1="AMH",$A$1="GBR",$A$1="GTL",$A$1="NFL",$A$1="NSL",$A$1="ULI"),(J29/100*I29)*(1-C29)+B29,B29+D29+F29)</f>
        <v>#DIV/0!</v>
      </c>
      <c r="H29" s="15" t="e">
        <f>G29-B29</f>
        <v>#DIV/0!</v>
      </c>
      <c r="I29" s="13"/>
      <c r="J29" s="20"/>
      <c r="K29" s="13" t="e">
        <f t="shared" si="3"/>
        <v>#DIV/0!</v>
      </c>
      <c r="L29" s="13" t="e">
        <f t="shared" si="4"/>
        <v>#DIV/0!</v>
      </c>
      <c r="M29" s="13" t="e">
        <f t="shared" si="9"/>
        <v>#DIV/0!</v>
      </c>
      <c r="N29" s="19" t="e">
        <f t="shared" si="11"/>
        <v>#DIV/0!</v>
      </c>
      <c r="O29" s="19" t="e">
        <f t="shared" si="10"/>
        <v>#DIV/0!</v>
      </c>
      <c r="P29" s="13"/>
      <c r="R29" s="17" t="e">
        <f t="shared" si="5"/>
        <v>#NUM!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2"/>
      <c r="AM29" s="18"/>
      <c r="AN29" s="18"/>
      <c r="AO29" s="18"/>
      <c r="AP29" s="18"/>
      <c r="AQ29" s="13"/>
      <c r="AR29" s="13"/>
    </row>
    <row r="30" spans="1:44" x14ac:dyDescent="0.3">
      <c r="A30" s="12" t="e">
        <f>DATE(YEAR(A31),MONTH(A31)-1,1)</f>
        <v>#NUM!</v>
      </c>
      <c r="B30" s="13"/>
      <c r="C30" s="14">
        <f>++'Completion Factors'!J8</f>
        <v>0</v>
      </c>
      <c r="D30" s="13" t="e">
        <f t="shared" si="6"/>
        <v>#DIV/0!</v>
      </c>
      <c r="E30" s="13" t="e">
        <f t="shared" si="1"/>
        <v>#DIV/0!</v>
      </c>
      <c r="F30" s="13" t="e">
        <f>ROUND(+I30*J30/100,0)-D30-B30</f>
        <v>#DIV/0!</v>
      </c>
      <c r="G30" s="13" t="e">
        <f t="shared" ref="G30:G31" si="12">IF(OR($A$1="AMH",$A$1="GBR",$A$1="GTL",$A$1="NFL",$A$1="NSL",$A$1="ULI"),(J30/100*I30)*(1-C30)+B30,B30+D30+F30)</f>
        <v>#DIV/0!</v>
      </c>
      <c r="H30" s="15" t="e">
        <f>G30-B30</f>
        <v>#DIV/0!</v>
      </c>
      <c r="I30" s="13"/>
      <c r="J30" s="20"/>
      <c r="K30" s="13" t="e">
        <f t="shared" si="3"/>
        <v>#DIV/0!</v>
      </c>
      <c r="L30" s="13" t="e">
        <f t="shared" si="4"/>
        <v>#DIV/0!</v>
      </c>
      <c r="M30" s="13" t="e">
        <f t="shared" si="9"/>
        <v>#DIV/0!</v>
      </c>
      <c r="N30" s="19" t="e">
        <f>J30/J18</f>
        <v>#DIV/0!</v>
      </c>
      <c r="O30" s="19" t="e">
        <f t="shared" si="10"/>
        <v>#DIV/0!</v>
      </c>
      <c r="P30" s="13"/>
      <c r="R30" s="17" t="e">
        <f t="shared" si="5"/>
        <v>#NUM!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3"/>
      <c r="AR30" s="13"/>
    </row>
    <row r="31" spans="1:44" x14ac:dyDescent="0.3">
      <c r="A31" s="12">
        <f>DATE(YEAR(H4),MONTH(H4),1)</f>
        <v>1</v>
      </c>
      <c r="B31" s="13"/>
      <c r="C31" s="14">
        <f>+'Completion Factors'!J7</f>
        <v>0</v>
      </c>
      <c r="D31" s="13" t="e">
        <f t="shared" si="6"/>
        <v>#DIV/0!</v>
      </c>
      <c r="E31" s="13" t="e">
        <f t="shared" si="1"/>
        <v>#DIV/0!</v>
      </c>
      <c r="F31" s="13" t="e">
        <f>ROUND(+I31*J31/100,0)-D31-B31</f>
        <v>#DIV/0!</v>
      </c>
      <c r="G31" s="13" t="e">
        <f t="shared" si="12"/>
        <v>#DIV/0!</v>
      </c>
      <c r="H31" s="15" t="e">
        <f>G31-B31</f>
        <v>#DIV/0!</v>
      </c>
      <c r="I31" s="13"/>
      <c r="J31" s="20"/>
      <c r="K31" s="13" t="e">
        <f t="shared" si="3"/>
        <v>#DIV/0!</v>
      </c>
      <c r="L31" s="13" t="e">
        <f t="shared" si="4"/>
        <v>#DIV/0!</v>
      </c>
      <c r="M31" s="13" t="e">
        <f t="shared" si="9"/>
        <v>#DIV/0!</v>
      </c>
      <c r="N31" s="19" t="e">
        <f t="shared" si="11"/>
        <v>#DIV/0!</v>
      </c>
      <c r="O31" s="19" t="e">
        <f>I31/I19</f>
        <v>#DIV/0!</v>
      </c>
      <c r="P31" s="13"/>
      <c r="R31" s="17">
        <f t="shared" si="5"/>
        <v>1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3"/>
      <c r="AR31" s="13"/>
    </row>
    <row r="32" spans="1:44" x14ac:dyDescent="0.3">
      <c r="H32" s="23" t="s">
        <v>50</v>
      </c>
      <c r="R32" t="s">
        <v>25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</row>
    <row r="33" spans="3:14" x14ac:dyDescent="0.3">
      <c r="C33" s="18"/>
      <c r="D33" s="13"/>
      <c r="E33" s="13"/>
      <c r="F33" s="13"/>
      <c r="G33" s="13"/>
      <c r="H33" s="15" t="e">
        <f>SUM(H8:H31)</f>
        <v>#DIV/0!</v>
      </c>
      <c r="I33" s="13"/>
      <c r="J33" s="24" t="e">
        <f>SUM(G20:G31)/SUM(I20:I31)</f>
        <v>#DIV/0!</v>
      </c>
      <c r="K33" s="13"/>
      <c r="L33" s="13"/>
      <c r="M33" s="17"/>
    </row>
    <row r="34" spans="3:14" x14ac:dyDescent="0.3">
      <c r="C34" s="18"/>
      <c r="D34" s="13"/>
      <c r="G34" t="str">
        <f>IF(ABS(+B33+E33+F33-G33)&gt;0.005,B33+E33+F33,"  ")</f>
        <v xml:space="preserve">  </v>
      </c>
      <c r="H34" s="23"/>
      <c r="J34" s="25"/>
      <c r="M34" s="17"/>
    </row>
    <row r="35" spans="3:14" x14ac:dyDescent="0.3">
      <c r="C35" s="18"/>
      <c r="D35" s="13"/>
      <c r="H35" s="26">
        <v>7.4999999999999997E-2</v>
      </c>
      <c r="J35" s="25"/>
    </row>
    <row r="36" spans="3:14" x14ac:dyDescent="0.3">
      <c r="C36" s="18"/>
      <c r="D36" s="13"/>
      <c r="F36" s="25"/>
      <c r="H36" s="27" t="e">
        <f>H33*(1+H35)</f>
        <v>#DIV/0!</v>
      </c>
      <c r="I36" s="28"/>
      <c r="J36" s="29"/>
      <c r="K36" s="29"/>
    </row>
    <row r="37" spans="3:14" x14ac:dyDescent="0.3">
      <c r="C37" s="18"/>
      <c r="D37" s="13"/>
      <c r="M37" s="17"/>
    </row>
    <row r="38" spans="3:14" x14ac:dyDescent="0.3">
      <c r="C38" s="18"/>
      <c r="D38" s="13"/>
    </row>
    <row r="39" spans="3:14" x14ac:dyDescent="0.3">
      <c r="C39" s="18"/>
      <c r="D39" s="13"/>
      <c r="F39" s="10"/>
      <c r="H39" s="30"/>
      <c r="I39" s="30"/>
      <c r="J39" s="30"/>
      <c r="K39" s="30"/>
      <c r="L39" s="31"/>
      <c r="M39" s="32"/>
      <c r="N39" s="32"/>
    </row>
    <row r="40" spans="3:14" x14ac:dyDescent="0.3">
      <c r="C40" s="18"/>
      <c r="D40" s="13"/>
      <c r="H40" s="30"/>
      <c r="I40" s="30"/>
      <c r="J40" s="30"/>
      <c r="K40" s="30"/>
      <c r="L40" s="31"/>
    </row>
    <row r="41" spans="3:14" x14ac:dyDescent="0.3">
      <c r="C41" s="18"/>
      <c r="D41" s="13"/>
    </row>
    <row r="42" spans="3:14" x14ac:dyDescent="0.3">
      <c r="C42" s="18"/>
      <c r="D42" s="13"/>
      <c r="H42" s="18"/>
      <c r="I42" s="18"/>
      <c r="J42" s="18"/>
      <c r="K42" s="18"/>
      <c r="L42" s="31"/>
      <c r="M42" s="25"/>
    </row>
    <row r="43" spans="3:14" x14ac:dyDescent="0.3">
      <c r="C43" s="18"/>
      <c r="D43" s="13"/>
      <c r="H43" s="18"/>
      <c r="I43" s="18"/>
      <c r="J43" s="18"/>
      <c r="K43" s="18"/>
      <c r="L43" s="31"/>
      <c r="M43" s="25"/>
      <c r="N43" s="25"/>
    </row>
    <row r="44" spans="3:14" x14ac:dyDescent="0.3">
      <c r="C44" s="18"/>
      <c r="D44" s="13"/>
    </row>
    <row r="45" spans="3:14" x14ac:dyDescent="0.3">
      <c r="C45" s="18"/>
      <c r="D45" s="13"/>
      <c r="H45" s="32"/>
      <c r="I45" s="29"/>
    </row>
    <row r="46" spans="3:14" x14ac:dyDescent="0.3">
      <c r="C46" s="18"/>
      <c r="D46" s="13"/>
      <c r="H46" s="32"/>
      <c r="I46" s="29"/>
    </row>
    <row r="47" spans="3:14" x14ac:dyDescent="0.3">
      <c r="C47" s="18"/>
      <c r="D47" s="13"/>
      <c r="H47" s="32"/>
    </row>
    <row r="48" spans="3:14" x14ac:dyDescent="0.3">
      <c r="C48" s="18"/>
      <c r="D48" s="13"/>
    </row>
    <row r="50" spans="8:9" x14ac:dyDescent="0.3">
      <c r="H50" s="25"/>
    </row>
    <row r="51" spans="8:9" x14ac:dyDescent="0.3">
      <c r="H51" s="25"/>
    </row>
    <row r="52" spans="8:9" x14ac:dyDescent="0.3">
      <c r="H52" s="25"/>
      <c r="I52" s="25"/>
    </row>
    <row r="53" spans="8:9" x14ac:dyDescent="0.3">
      <c r="H53" s="25"/>
    </row>
    <row r="54" spans="8:9" x14ac:dyDescent="0.3">
      <c r="H54" s="25"/>
    </row>
  </sheetData>
  <mergeCells count="1">
    <mergeCell ref="J4:M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Completion Factors</vt:lpstr>
      <vt:lpstr>Plot Patterns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Oranias</dc:creator>
  <cp:lastModifiedBy>Sofia Moretti</cp:lastModifiedBy>
  <dcterms:created xsi:type="dcterms:W3CDTF">2024-08-08T17:42:33Z</dcterms:created>
  <dcterms:modified xsi:type="dcterms:W3CDTF">2025-09-01T14:45:24Z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{4F02265C-593B-4D68-BEB0-50E2EFD0B011}</vt:lpwstr>
  </property>
</Properties>
</file>